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Excel\"/>
    </mc:Choice>
  </mc:AlternateContent>
  <xr:revisionPtr revIDLastSave="0" documentId="13_ncr:1_{AF33B1AA-C04D-4252-91D9-AB7A84E4A308}" xr6:coauthVersionLast="47" xr6:coauthVersionMax="47" xr10:uidLastSave="{00000000-0000-0000-0000-000000000000}"/>
  <bookViews>
    <workbookView xWindow="-108" yWindow="-108" windowWidth="23256" windowHeight="12456" activeTab="2" xr2:uid="{AC980DE4-9D2A-44DB-9786-E13B0378BD66}"/>
  </bookViews>
  <sheets>
    <sheet name="Sheet1" sheetId="6" r:id="rId1"/>
    <sheet name="Pivot Report" sheetId="1" r:id="rId2"/>
    <sheet name="Dashboard" sheetId="2" r:id="rId3"/>
    <sheet name="Average Wait Time Daily Trend" sheetId="4" r:id="rId4"/>
    <sheet name="Daily ER No of Patient" sheetId="3" r:id="rId5"/>
    <sheet name="Satisfaction Score Daily Trend" sheetId="5" r:id="rId6"/>
  </sheets>
  <definedNames>
    <definedName name="ExternalData_1" localSheetId="0" hidden="1">Sheet1!$A$3:$M$151</definedName>
    <definedName name="Slicer_Date__Month">#N/A</definedName>
    <definedName name="Slicer_Date__Year">#N/A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3e8ceb72-a6ca-42f9-a9e1-be50c8ab83f1" name="Hospital Emergency Room Data" connection="Query - Hospital Emergency Room Data"/>
          <x15:modelTable id="Calendar_table_fcc7595c-e980-4155-9755-474a962272c4"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C50" i="1" l="1"/>
  <c r="B50" i="1"/>
  <c r="A50" i="1"/>
  <c r="B51" i="1"/>
  <c r="C51" i="1"/>
  <c r="A5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E829D8-5FAE-44CB-96C2-1FE93840B33F}" keepAlive="1" name="ModelConnection_ExternalData_1" description="Data Model" type="5" refreshedVersion="8" minRefreshableVersion="5" saveData="1">
    <dbPr connection="Data Model Connection" command="DRILLTHROUGH MAXROWS 1000 SELECT FROM [Model] WHERE (([Calendar_table].[Date (Month)].&amp;[Feb],[Calendar_table].[Date (Year)].&amp;[2024],[Measures].[Count of Patient Attend Status],[Hospital Emergency Room Data].[Patient Attend Status].&amp;[Ontime]))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CE00ABFF-A4D1-43F8-9493-E8F0C2ED2738}" name="Query - Calendar_table" description="Connection to the 'Calendar_table' query in the workbook." type="100" refreshedVersion="8" minRefreshableVersion="5">
    <extLst>
      <ext xmlns:x15="http://schemas.microsoft.com/office/spreadsheetml/2010/11/main" uri="{DE250136-89BD-433C-8126-D09CA5730AF9}">
        <x15:connection id="801a3f27-4569-4053-8784-1e73f11afadf">
          <x15:oledbPr connection="Provider=Microsoft.Mashup.OleDb.1;Data Source=$Workbook$;Location=Calendar_table;Extended Properties=&quot;&quot;">
            <x15:dbTables>
              <x15:dbTable name="Calendar_table"/>
            </x15:dbTables>
          </x15:oledbPr>
        </x15:connection>
      </ext>
    </extLst>
  </connection>
  <connection id="3" xr16:uid="{DC2E14AA-E886-41C8-AC21-33BB4F7AD4EA}"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74f6da8c-cfdf-4386-87f3-9819f1c1751c"/>
      </ext>
    </extLst>
  </connection>
  <connection id="4" xr16:uid="{D18EB25E-35EF-4EBA-A2D2-2956A8459E1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<sst xmlns="http://schemas.openxmlformats.org/spreadsheetml/2006/main" count="1364" uniqueCount="403">
  <si>
    <t>Distinct Count of Patient Id</t>
  </si>
  <si>
    <t>No:of Patients</t>
  </si>
  <si>
    <t>Average of Patient Waittime</t>
  </si>
  <si>
    <t>Average of Patient Satisfaction Score</t>
  </si>
  <si>
    <t>Row Labels</t>
  </si>
  <si>
    <t>Grand Total</t>
  </si>
  <si>
    <t>Showing a daily trend with an area sparkline to spot patterns like busy day or seasonal trends</t>
  </si>
  <si>
    <t>trends.</t>
  </si>
  <si>
    <t xml:space="preserve">    </t>
  </si>
  <si>
    <t>daily trends of no of patient</t>
  </si>
  <si>
    <t>average wait time</t>
  </si>
  <si>
    <t>Use an area sparkline to track daily changes and highlight days with longer wait times that might need improvements.</t>
  </si>
  <si>
    <t>Use an area chart to show trends,spot drops in satisfaction, and link them to busy times or challenges.</t>
  </si>
  <si>
    <t>satisfaction score daily trend</t>
  </si>
  <si>
    <t>Count of Patient Admission Flag</t>
  </si>
  <si>
    <t>Admitted</t>
  </si>
  <si>
    <t>Not Admitted</t>
  </si>
  <si>
    <t>Count of Patient Admission Flag2</t>
  </si>
  <si>
    <t>Admission Status</t>
  </si>
  <si>
    <t>No of Patient</t>
  </si>
  <si>
    <t>+</t>
  </si>
  <si>
    <t>Count of Age Group</t>
  </si>
  <si>
    <t>0-09</t>
  </si>
  <si>
    <t>10-19</t>
  </si>
  <si>
    <t>20-29</t>
  </si>
  <si>
    <t>30-39</t>
  </si>
  <si>
    <t>40-49</t>
  </si>
  <si>
    <t>50-59</t>
  </si>
  <si>
    <t>60-69</t>
  </si>
  <si>
    <t>70-79</t>
  </si>
  <si>
    <t>No.of Patients by Age Group</t>
  </si>
  <si>
    <t>age group wise analysis</t>
  </si>
  <si>
    <t>Ontime</t>
  </si>
  <si>
    <t>Delay</t>
  </si>
  <si>
    <t>Count of Patient Attend Status</t>
  </si>
  <si>
    <t>attended status</t>
  </si>
  <si>
    <t>Female</t>
  </si>
  <si>
    <t>Male</t>
  </si>
  <si>
    <t>Count of Patient Gender</t>
  </si>
  <si>
    <t>gender wise analysis</t>
  </si>
  <si>
    <t>Cardiology</t>
  </si>
  <si>
    <t>Gastroenterology</t>
  </si>
  <si>
    <t>General Practice</t>
  </si>
  <si>
    <t>Neurology</t>
  </si>
  <si>
    <t>None</t>
  </si>
  <si>
    <t>Orthopedics</t>
  </si>
  <si>
    <t>Physiotherapy</t>
  </si>
  <si>
    <t>Renal</t>
  </si>
  <si>
    <t>Count of Department Referral</t>
  </si>
  <si>
    <t>% of Total</t>
  </si>
  <si>
    <t>Status in %</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</si>
  <si>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</si>
  <si>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</si>
  <si>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</si>
  <si>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</si>
  <si>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</si>
  <si>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</si>
  <si>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</si>
  <si>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</si>
  <si>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</si>
  <si>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</si>
  <si>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</si>
  <si>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</si>
  <si>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</si>
  <si>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589-25-9796</t>
  </si>
  <si>
    <t>C. Powling</t>
  </si>
  <si>
    <t>White</t>
  </si>
  <si>
    <t>244-74-1250</t>
  </si>
  <si>
    <t>E. Syrett</t>
  </si>
  <si>
    <t>673-82-3180</t>
  </si>
  <si>
    <t>F. Judron</t>
  </si>
  <si>
    <t>162-53-8400</t>
  </si>
  <si>
    <t>I. Wolstenholme</t>
  </si>
  <si>
    <t>879-07-2777</t>
  </si>
  <si>
    <t>T. McReynolds</t>
  </si>
  <si>
    <t>399-14-1417</t>
  </si>
  <si>
    <t>U. Drought</t>
  </si>
  <si>
    <t>114-36-5111</t>
  </si>
  <si>
    <t>R. Tilburn</t>
  </si>
  <si>
    <t>243-26-2463</t>
  </si>
  <si>
    <t>P. Mongan</t>
  </si>
  <si>
    <t>650-24-3956</t>
  </si>
  <si>
    <t>T. Pollastrino</t>
  </si>
  <si>
    <t>186-51-7721</t>
  </si>
  <si>
    <t>G. Skamell</t>
  </si>
  <si>
    <t>838-81-9021</t>
  </si>
  <si>
    <t>K. Leebeter</t>
  </si>
  <si>
    <t>794-82-3847</t>
  </si>
  <si>
    <t>L. Bagger</t>
  </si>
  <si>
    <t>607-93-7414</t>
  </si>
  <si>
    <t>M. Fevier</t>
  </si>
  <si>
    <t>451-83-4132</t>
  </si>
  <si>
    <t>O. Bills</t>
  </si>
  <si>
    <t>202-31-8321</t>
  </si>
  <si>
    <t>Q. Goose</t>
  </si>
  <si>
    <t>239-37-0566</t>
  </si>
  <si>
    <t>S. Banton</t>
  </si>
  <si>
    <t>322-25-9678</t>
  </si>
  <si>
    <t>D. Sams</t>
  </si>
  <si>
    <t>662-44-4990</t>
  </si>
  <si>
    <t>W. Riddlesden</t>
  </si>
  <si>
    <t>251-33-7796</t>
  </si>
  <si>
    <t>H. Scown</t>
  </si>
  <si>
    <t>African American</t>
  </si>
  <si>
    <t>561-21-7158</t>
  </si>
  <si>
    <t>L. Jacobsson</t>
  </si>
  <si>
    <t>186-14-2053</t>
  </si>
  <si>
    <t>V. Minchinden</t>
  </si>
  <si>
    <t>680-14-5223</t>
  </si>
  <si>
    <t>X. Delgadillo</t>
  </si>
  <si>
    <t>707-65-0931</t>
  </si>
  <si>
    <t>W. Danford</t>
  </si>
  <si>
    <t>278-30-2643</t>
  </si>
  <si>
    <t>W. Draysey</t>
  </si>
  <si>
    <t>687-50-1228</t>
  </si>
  <si>
    <t>P. Porcas</t>
  </si>
  <si>
    <t>875-86-2290</t>
  </si>
  <si>
    <t>Y. Hawarden</t>
  </si>
  <si>
    <t>680-94-3403</t>
  </si>
  <si>
    <t>K. Peirce</t>
  </si>
  <si>
    <t>239-13-8585</t>
  </si>
  <si>
    <t>Y. Kielt</t>
  </si>
  <si>
    <t>475-98-9744</t>
  </si>
  <si>
    <t>H. Melwall</t>
  </si>
  <si>
    <t>874-33-1108</t>
  </si>
  <si>
    <t>K. Poxson</t>
  </si>
  <si>
    <t>677-73-9012</t>
  </si>
  <si>
    <t>P. Jendrassik</t>
  </si>
  <si>
    <t>897-32-9183</t>
  </si>
  <si>
    <t>I. Hunstone</t>
  </si>
  <si>
    <t>Two or More Races</t>
  </si>
  <si>
    <t>740-89-0160</t>
  </si>
  <si>
    <t>Q. Pickaver</t>
  </si>
  <si>
    <t>799-98-8144</t>
  </si>
  <si>
    <t>Q. Aronov</t>
  </si>
  <si>
    <t>567-85-0684</t>
  </si>
  <si>
    <t>C. Vido</t>
  </si>
  <si>
    <t>769-18-6872</t>
  </si>
  <si>
    <t>I. Jerdon</t>
  </si>
  <si>
    <t>243-68-6278</t>
  </si>
  <si>
    <t>N. Abbyss</t>
  </si>
  <si>
    <t>390-90-9742</t>
  </si>
  <si>
    <t>P. Kalkofer</t>
  </si>
  <si>
    <t>734-44-6625</t>
  </si>
  <si>
    <t>C. O'Halloran</t>
  </si>
  <si>
    <t>263-80-0452</t>
  </si>
  <si>
    <t>C. Dermott</t>
  </si>
  <si>
    <t>178-57-5719</t>
  </si>
  <si>
    <t>I. Frain</t>
  </si>
  <si>
    <t>380-36-1654</t>
  </si>
  <si>
    <t>S. William</t>
  </si>
  <si>
    <t>708-49-4528</t>
  </si>
  <si>
    <t>Y. Dillicate</t>
  </si>
  <si>
    <t>790-37-0542</t>
  </si>
  <si>
    <t>E. Lankford</t>
  </si>
  <si>
    <t>273-13-6898</t>
  </si>
  <si>
    <t>M. Petrescu</t>
  </si>
  <si>
    <t>449-78-6801</t>
  </si>
  <si>
    <t>V. Bloomfield</t>
  </si>
  <si>
    <t>Declined to Identify</t>
  </si>
  <si>
    <t>564-80-3063</t>
  </si>
  <si>
    <t>C. Qualtro</t>
  </si>
  <si>
    <t>136-49-5712</t>
  </si>
  <si>
    <t>L. Mixworthy</t>
  </si>
  <si>
    <t>710-50-4562</t>
  </si>
  <si>
    <t>P. Benedite</t>
  </si>
  <si>
    <t>Asian</t>
  </si>
  <si>
    <t>734-15-2159</t>
  </si>
  <si>
    <t>K. Cockroft</t>
  </si>
  <si>
    <t>312-08-6219</t>
  </si>
  <si>
    <t>I. Kaaskooper</t>
  </si>
  <si>
    <t>489-02-8826</t>
  </si>
  <si>
    <t>L. Swede</t>
  </si>
  <si>
    <t>565-93-5453</t>
  </si>
  <si>
    <t>J. Hellin</t>
  </si>
  <si>
    <t>468-76-5399</t>
  </si>
  <si>
    <t>N. Talby</t>
  </si>
  <si>
    <t>632-33-1275</t>
  </si>
  <si>
    <t>L. Grindley</t>
  </si>
  <si>
    <t>590-19-6541</t>
  </si>
  <si>
    <t>V. Blasio</t>
  </si>
  <si>
    <t>243-37-3437</t>
  </si>
  <si>
    <t>R. Godart</t>
  </si>
  <si>
    <t>425-09-9414</t>
  </si>
  <si>
    <t>P. Jelphs</t>
  </si>
  <si>
    <t>Pacific Islander</t>
  </si>
  <si>
    <t>701-34-7176</t>
  </si>
  <si>
    <t>X. Isakson</t>
  </si>
  <si>
    <t>Native American/Alaska Native</t>
  </si>
  <si>
    <t>874-83-4874</t>
  </si>
  <si>
    <t>F. Simchenko</t>
  </si>
  <si>
    <t>412-07-8001</t>
  </si>
  <si>
    <t>S. Sivewright</t>
  </si>
  <si>
    <t>644-22-9798</t>
  </si>
  <si>
    <t>A. Netting</t>
  </si>
  <si>
    <t>344-12-7337</t>
  </si>
  <si>
    <t>B. Rickersey</t>
  </si>
  <si>
    <t>168-12-2195</t>
  </si>
  <si>
    <t>Q. Willett</t>
  </si>
  <si>
    <t>519-85-8257</t>
  </si>
  <si>
    <t>Q. Asif</t>
  </si>
  <si>
    <t>205-88-0582</t>
  </si>
  <si>
    <t>Y. Henden</t>
  </si>
  <si>
    <t>119-06-4805</t>
  </si>
  <si>
    <t>Q. Franzen</t>
  </si>
  <si>
    <t>730-82-2040</t>
  </si>
  <si>
    <t>T. Becconsall</t>
  </si>
  <si>
    <t>436-04-4586</t>
  </si>
  <si>
    <t>T. Himpson</t>
  </si>
  <si>
    <t>528-66-7358</t>
  </si>
  <si>
    <t>A. Pottage</t>
  </si>
  <si>
    <t>684-32-0338</t>
  </si>
  <si>
    <t>J. Jedrysik</t>
  </si>
  <si>
    <t>445-97-9581</t>
  </si>
  <si>
    <t>T. Fernehough</t>
  </si>
  <si>
    <t>412-29-3776</t>
  </si>
  <si>
    <t>V. Duffield</t>
  </si>
  <si>
    <t>476-53-5824</t>
  </si>
  <si>
    <t>I. Germon</t>
  </si>
  <si>
    <t>344-60-3150</t>
  </si>
  <si>
    <t>F. Butts</t>
  </si>
  <si>
    <t>730-92-9749</t>
  </si>
  <si>
    <t>A. Hearty</t>
  </si>
  <si>
    <t>657-17-7377</t>
  </si>
  <si>
    <t>J. Howroyd</t>
  </si>
  <si>
    <t>673-14-9836</t>
  </si>
  <si>
    <t>R. Hause</t>
  </si>
  <si>
    <t>132-94-9742</t>
  </si>
  <si>
    <t>E. Nappin</t>
  </si>
  <si>
    <t>736-03-3064</t>
  </si>
  <si>
    <t>R. O'Crevan</t>
  </si>
  <si>
    <t>133-11-6007</t>
  </si>
  <si>
    <t>C. Shervil</t>
  </si>
  <si>
    <t>392-91-5620</t>
  </si>
  <si>
    <t>B. Pyer</t>
  </si>
  <si>
    <t>525-36-7812</t>
  </si>
  <si>
    <t>G. Thorley</t>
  </si>
  <si>
    <t>660-87-6404</t>
  </si>
  <si>
    <t>R. Nortcliffe</t>
  </si>
  <si>
    <t>535-66-6021</t>
  </si>
  <si>
    <t>K. Knotton</t>
  </si>
  <si>
    <t>232-89-7136</t>
  </si>
  <si>
    <t>R. Silverthorne</t>
  </si>
  <si>
    <t>256-81-6386</t>
  </si>
  <si>
    <t>R. Treslove</t>
  </si>
  <si>
    <t>559-31-6017</t>
  </si>
  <si>
    <t>A. Heggman</t>
  </si>
  <si>
    <t>263-80-6685</t>
  </si>
  <si>
    <t>C. Bartkowiak</t>
  </si>
  <si>
    <t>149-68-0241</t>
  </si>
  <si>
    <t>E. Hemerijk</t>
  </si>
  <si>
    <t>570-14-8462</t>
  </si>
  <si>
    <t>C. Meeland</t>
  </si>
  <si>
    <t>804-04-1122</t>
  </si>
  <si>
    <t>E. Humpatch</t>
  </si>
  <si>
    <t>388-34-2380</t>
  </si>
  <si>
    <t>E. Normanton</t>
  </si>
  <si>
    <t>777-67-6604</t>
  </si>
  <si>
    <t>H. Harsant</t>
  </si>
  <si>
    <t>416-95-3368</t>
  </si>
  <si>
    <t>K. Mushart</t>
  </si>
  <si>
    <t>727-44-0682</t>
  </si>
  <si>
    <t>B. Gealy</t>
  </si>
  <si>
    <t>715-73-6259</t>
  </si>
  <si>
    <t>A. Mc Gorley</t>
  </si>
  <si>
    <t>455-54-8491</t>
  </si>
  <si>
    <t>K. Yeskin</t>
  </si>
  <si>
    <t>718-51-6818</t>
  </si>
  <si>
    <t>R. Cadalleder</t>
  </si>
  <si>
    <t>388-03-3882</t>
  </si>
  <si>
    <t>K. Jacobsson</t>
  </si>
  <si>
    <t>608-45-3024</t>
  </si>
  <si>
    <t>K. Querree</t>
  </si>
  <si>
    <t>782-82-3086</t>
  </si>
  <si>
    <t>T. Sabbins</t>
  </si>
  <si>
    <t>115-32-2532</t>
  </si>
  <si>
    <t>P. Bowker</t>
  </si>
  <si>
    <t>488-56-9052</t>
  </si>
  <si>
    <t>B. Lowensohn</t>
  </si>
  <si>
    <t>505-65-9125</t>
  </si>
  <si>
    <t>V. Rosenfield</t>
  </si>
  <si>
    <t>514-92-4822</t>
  </si>
  <si>
    <t>A. Lichfield</t>
  </si>
  <si>
    <t>496-05-7135</t>
  </si>
  <si>
    <t>Q. Trayte</t>
  </si>
  <si>
    <t>529-80-3128</t>
  </si>
  <si>
    <t>J. Meaking</t>
  </si>
  <si>
    <t>753-03-6126</t>
  </si>
  <si>
    <t>X. Gibke</t>
  </si>
  <si>
    <t>354-25-6792</t>
  </si>
  <si>
    <t>S. Coathup</t>
  </si>
  <si>
    <t>856-96-4267</t>
  </si>
  <si>
    <t>B. Ashpital</t>
  </si>
  <si>
    <t>177-75-4010</t>
  </si>
  <si>
    <t>T. Haddeston</t>
  </si>
  <si>
    <t>875-34-4380</t>
  </si>
  <si>
    <t>J. Legging</t>
  </si>
  <si>
    <t>493-10-9938</t>
  </si>
  <si>
    <t>A. Haworth</t>
  </si>
  <si>
    <t>320-85-0898</t>
  </si>
  <si>
    <t>G. Paull</t>
  </si>
  <si>
    <t>374-27-4733</t>
  </si>
  <si>
    <t>H. Gaudon</t>
  </si>
  <si>
    <t>268-33-9590</t>
  </si>
  <si>
    <t>O. Wordington</t>
  </si>
  <si>
    <t>857-22-1477</t>
  </si>
  <si>
    <t>L. Benedettini</t>
  </si>
  <si>
    <t>846-33-1744</t>
  </si>
  <si>
    <t>S. Nutting</t>
  </si>
  <si>
    <t>475-84-2128</t>
  </si>
  <si>
    <t>E. Ivatts</t>
  </si>
  <si>
    <t>248-33-3339</t>
  </si>
  <si>
    <t>V. Swayne</t>
  </si>
  <si>
    <t>410-50-5126</t>
  </si>
  <si>
    <t>E. Rove</t>
  </si>
  <si>
    <t>204-16-6516</t>
  </si>
  <si>
    <t>Q. Austing</t>
  </si>
  <si>
    <t>652-35-9074</t>
  </si>
  <si>
    <t>K. Mahaffey</t>
  </si>
  <si>
    <t>544-26-4109</t>
  </si>
  <si>
    <t>B. Broadley</t>
  </si>
  <si>
    <t>154-20-3673</t>
  </si>
  <si>
    <t>A. Matchitt</t>
  </si>
  <si>
    <t>871-75-0210</t>
  </si>
  <si>
    <t>T. MacArdle</t>
  </si>
  <si>
    <t>542-43-2204</t>
  </si>
  <si>
    <t>Z. Cottage</t>
  </si>
  <si>
    <t>541-60-5377</t>
  </si>
  <si>
    <t>V. Quye</t>
  </si>
  <si>
    <t>234-89-6647</t>
  </si>
  <si>
    <t>P. Sapey</t>
  </si>
  <si>
    <t>296-44-2419</t>
  </si>
  <si>
    <t>S. Wickenden</t>
  </si>
  <si>
    <t>330-83-0888</t>
  </si>
  <si>
    <t>T. Brian</t>
  </si>
  <si>
    <t>797-10-7600</t>
  </si>
  <si>
    <t>V. Malletratt</t>
  </si>
  <si>
    <t>708-70-6853</t>
  </si>
  <si>
    <t>M. Eallis</t>
  </si>
  <si>
    <t>806-35-1624</t>
  </si>
  <si>
    <t>K. Thickins</t>
  </si>
  <si>
    <t>653-94-5107</t>
  </si>
  <si>
    <t>G. Oury</t>
  </si>
  <si>
    <t>480-89-1845</t>
  </si>
  <si>
    <t>O. Purcer</t>
  </si>
  <si>
    <t>848-13-6227</t>
  </si>
  <si>
    <t>D. Reeves</t>
  </si>
  <si>
    <t>222-82-2788</t>
  </si>
  <si>
    <t>L. Giannazzo</t>
  </si>
  <si>
    <t>296-68-1456</t>
  </si>
  <si>
    <t>K. Abbati</t>
  </si>
  <si>
    <t>779-25-0290</t>
  </si>
  <si>
    <t>V. Pratten</t>
  </si>
  <si>
    <t>667-93-9784</t>
  </si>
  <si>
    <t>P. Garlant</t>
  </si>
  <si>
    <t>171-47-9048</t>
  </si>
  <si>
    <t>V. Fiennes</t>
  </si>
  <si>
    <t>293-41-9295</t>
  </si>
  <si>
    <t>H. Vogt</t>
  </si>
  <si>
    <t>428-04-4880</t>
  </si>
  <si>
    <t>L. Masdin</t>
  </si>
  <si>
    <t>754-35-8800</t>
  </si>
  <si>
    <t>S. Lankham</t>
  </si>
  <si>
    <t>169-76-5874</t>
  </si>
  <si>
    <t>U. Graith</t>
  </si>
  <si>
    <t>256-38-2449</t>
  </si>
  <si>
    <t>Q. Copplestone</t>
  </si>
  <si>
    <t>Data returned for Count of Patient Attend Status, Ontime, Feb - 2024 (First 1000 rows).</t>
  </si>
  <si>
    <t>Within Time</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</si>
  <si>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</si>
  <si>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</si>
  <si>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</si>
  <si>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</si>
  <si>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</si>
  <si>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</si>
  <si>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</si>
  <si>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</si>
  <si>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</si>
  <si>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</si>
  <si>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</si>
  <si>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</si>
  <si>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</si>
  <si>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</si>
  <si>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</si>
  <si>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</si>
  <si>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</si>
  <si>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</si>
  <si>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</si>
  <si>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</si>
  <si>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</si>
  <si>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</si>
  <si>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</si>
  <si>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</si>
  <si>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</si>
  <si>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</si>
  <si>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</si>
  <si>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</si>
  <si>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</si>
  <si>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</si>
  <si>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</si>
  <si>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</si>
  <si>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Qtr1</t>
  </si>
  <si>
    <t>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</si>
</sst>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00"/>
  </numFmts>
  <fonts count="6" x14ac:knownFonts="1">
    <font>
      <sz val="11"/>
      <color theme="1"/>
      <name val="Calibri"/>
      <family val="2"/>
      <scheme val="minor"/>
    </font>
    <font>
      <sz val="11"/>
      <color theme="1"/>
      <name val="Calibri"/>
      <family val="2"/>
      <scheme val="minor"/>
    </font>
    <font>
      <sz val="16"/>
      <color theme="1"/>
      <name val="Calibri"/>
      <family val="2"/>
      <scheme val="minor"/>
    </font>
    <font>
      <b/>
      <sz val="9"/>
      <color rgb="FF000000"/>
      <name val="Calibri"/>
      <family val="2"/>
      <scheme val="minor"/>
    </font>
    <font>
      <b/>
      <sz val="11"/>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2" fontId="0" fillId="0" borderId="0" xfId="0" applyNumberFormat="1"/>
    <xf numFmtId="0" fontId="0" fillId="0" borderId="0" xfId="0" pivotButton="1"/>
    <xf numFmtId="0" fontId="0" fillId="0" borderId="0" xfId="0" applyAlignment="1">
      <alignment horizontal="left"/>
    </xf>
    <xf numFmtId="0" fontId="0" fillId="2" borderId="0" xfId="0" applyFill="1"/>
    <xf numFmtId="164" fontId="0" fillId="0" borderId="0" xfId="0" applyNumberFormat="1"/>
    <xf numFmtId="0" fontId="2" fillId="2" borderId="0" xfId="0" applyFont="1" applyFill="1"/>
    <xf numFmtId="1" fontId="0" fillId="0" borderId="0" xfId="0" applyNumberFormat="1"/>
    <xf numFmtId="10" fontId="0" fillId="0" borderId="0" xfId="0" applyNumberFormat="1"/>
    <xf numFmtId="0" fontId="0" fillId="3" borderId="0" xfId="0" applyFill="1"/>
    <xf numFmtId="0" fontId="0" fillId="0" borderId="0" xfId="0" applyAlignment="1">
      <alignment horizontal="center"/>
    </xf>
    <xf numFmtId="9" fontId="0" fillId="0" borderId="0" xfId="1" applyFont="1" applyAlignment="1">
      <alignment horizontal="center"/>
    </xf>
    <xf numFmtId="0" fontId="0" fillId="4" borderId="0" xfId="0" applyFill="1"/>
    <xf numFmtId="0" fontId="3" fillId="0" borderId="0" xfId="0" applyFont="1" applyAlignment="1">
      <alignment horizontal="center" vertical="center"/>
    </xf>
    <xf numFmtId="0" fontId="0" fillId="0" borderId="0" xfId="0" applyAlignment="1">
      <alignment horizontal="left" indent="1"/>
    </xf>
    <xf numFmtId="0" fontId="0" fillId="0" borderId="0" xfId="0" applyAlignment="1">
      <alignment horizontal="left" indent="2"/>
    </xf>
    <xf numFmtId="14" fontId="0" fillId="0" borderId="0" xfId="0" applyNumberFormat="1" applyAlignment="1">
      <alignment horizontal="left" indent="3"/>
    </xf>
    <xf numFmtId="0" fontId="5" fillId="3" borderId="0" xfId="0" applyFont="1" applyFill="1" applyAlignment="1">
      <alignment horizontal="center"/>
    </xf>
    <xf numFmtId="0" fontId="5" fillId="3" borderId="0" xfId="0" applyFont="1" applyFill="1"/>
    <xf numFmtId="14" fontId="0" fillId="0" borderId="0" xfId="0" applyNumberFormat="1"/>
    <xf numFmtId="21" fontId="0" fillId="0" borderId="0" xfId="0" applyNumberFormat="1"/>
    <xf numFmtId="0" fontId="4" fillId="0" borderId="0" xfId="0" applyFont="1"/>
    <xf numFmtId="0" fontId="3" fillId="0" borderId="0" xfId="0" applyFont="1" applyAlignment="1">
      <alignment horizontal="center" vertical="center"/>
    </xf>
    <xf numFmtId="0" fontId="2" fillId="2" borderId="0" xfId="0" applyFont="1" applyFill="1"/>
  </cellXfs>
  <cellStyles count="2">
    <cellStyle name="Normal" xfId="0" builtinId="0"/>
    <cellStyle name="Percent" xfId="1" builtinId="5"/>
  </cellStyles>
  <dxfs count="22">
    <dxf>
      <numFmt numFmtId="2" formatCode="0.00"/>
    </dxf>
    <dxf>
      <numFmt numFmtId="1" formatCode="0"/>
    </dxf>
    <dxf>
      <numFmt numFmtId="164" formatCode="0.00000000"/>
    </dxf>
    <dxf>
      <numFmt numFmtId="2" formatCode="0.00"/>
    </dxf>
    <dxf>
      <numFmt numFmtId="1" formatCode="0"/>
    </dxf>
    <dxf>
      <numFmt numFmtId="1" formatCode="0"/>
    </dxf>
    <dxf>
      <numFmt numFmtId="164" formatCode="0.00000000"/>
    </dxf>
    <dxf>
      <numFmt numFmtId="2" formatCode="0.00"/>
    </dxf>
    <dxf>
      <numFmt numFmtId="14" formatCode="0.00%"/>
    </dxf>
    <dxf>
      <numFmt numFmtId="1" formatCode="0"/>
    </dxf>
    <dxf>
      <numFmt numFmtId="1" formatCode="0"/>
    </dxf>
    <dxf>
      <numFmt numFmtId="2" formatCode="0.00"/>
    </dxf>
    <dxf>
      <numFmt numFmtId="1" formatCode="0"/>
    </dxf>
    <dxf>
      <numFmt numFmtId="1" formatCode="0"/>
    </dxf>
    <dxf>
      <numFmt numFmtId="2" formatCode="0.00"/>
    </dxf>
    <dxf>
      <numFmt numFmtId="26" formatCode="hh:mm:ss"/>
    </dxf>
    <dxf>
      <numFmt numFmtId="19" formatCode="dd/mm/yyyy"/>
    </dxf>
    <dxf>
      <font>
        <b/>
        <color theme="1"/>
      </font>
      <border>
        <bottom style="thin">
          <color theme="5"/>
        </bottom>
        <vertical/>
        <horizontal/>
      </border>
    </dxf>
    <dxf>
      <font>
        <sz val="8"/>
        <color theme="1"/>
      </font>
      <fill>
        <patternFill patternType="none">
          <bgColor auto="1"/>
        </patternFill>
      </fill>
      <border diagonalUp="0" diagonalDown="0">
        <left/>
        <right/>
        <top/>
        <bottom/>
        <vertical/>
        <horizontal/>
      </border>
    </dxf>
    <dxf>
      <fill>
        <patternFill patternType="none">
          <bgColor auto="1"/>
        </patternFill>
      </fill>
      <border diagonalUp="0" diagonalDown="0">
        <left/>
        <right/>
        <top/>
        <bottom/>
        <vertical/>
        <horizontal/>
      </border>
    </dxf>
    <dxf>
      <font>
        <b/>
        <color theme="1"/>
      </font>
      <border>
        <bottom style="thin">
          <color theme="9"/>
        </bottom>
        <vertical/>
        <horizontal/>
      </border>
    </dxf>
    <dxf>
      <font>
        <sz val="8"/>
        <color theme="1"/>
      </font>
      <fill>
        <patternFill>
          <bgColor theme="0" tint="-4.9989318521683403E-2"/>
        </patternFill>
      </fill>
      <border diagonalUp="0" diagonalDown="0">
        <left/>
        <right/>
        <top/>
        <bottom/>
        <vertical/>
        <horizontal/>
      </border>
    </dxf>
  </dxfs>
  <tableStyles count="4" defaultTableStyle="TableStyleMedium2" defaultPivotStyle="PivotStyleLight16">
    <tableStyle name="Invisible" pivot="0" table="0" count="0" xr9:uid="{77595DCE-A8EC-45C2-8B54-0AF1754A3C5B}"/>
    <tableStyle name="My Style" pivot="0" table="0" count="10" xr9:uid="{C08801C3-8AAD-4BB0-BA49-9FF09338FB5D}">
      <tableStyleElement type="wholeTable" dxfId="21"/>
      <tableStyleElement type="headerRow" dxfId="20"/>
    </tableStyle>
    <tableStyle name="Slicer Style 1" pivot="0" table="0" count="1" xr9:uid="{18B59637-8AD0-4B9A-9224-0E2EACD1F82A}">
      <tableStyleElement type="wholeTable" dxfId="19"/>
    </tableStyle>
    <tableStyle name="SlicerStyleDark2 2" pivot="0" table="0" count="10" xr9:uid="{0F9F9932-3B5C-4217-92BA-1CF06A7EDB3C}">
      <tableStyleElement type="wholeTable" dxfId="18"/>
      <tableStyleElement type="headerRow" dxfId="17"/>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1"/>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Project(AutoRecovered).xlsx]Pivot Report!PivotTable7</c:name>
    <c:fmtId val="0"/>
  </c:pivotSource>
  <c:chart>
    <c:autoTitleDeleted val="0"/>
    <c:pivotFmts>
      <c:pivotFmt>
        <c:idx val="0"/>
        <c:spPr>
          <a:solidFill>
            <a:schemeClr val="accent1"/>
          </a:solidFill>
          <a:ln w="76200">
            <a:noFill/>
          </a:ln>
          <a:effectLst>
            <a:outerShdw blurRad="50800" dist="38100" dir="2700000" sx="101000" sy="101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76200">
            <a:noFill/>
          </a:ln>
          <a:effectLst>
            <a:outerShdw blurRad="50800" dist="38100" dir="2700000" sx="101000" sy="101000" algn="tl" rotWithShape="0">
              <a:prstClr val="black">
                <a:alpha val="40000"/>
              </a:prstClr>
            </a:outerShdw>
          </a:effectLst>
        </c:spPr>
      </c:pivotFmt>
      <c:pivotFmt>
        <c:idx val="3"/>
        <c:spPr>
          <a:solidFill>
            <a:schemeClr val="accent1"/>
          </a:solidFill>
          <a:ln w="76200">
            <a:noFill/>
          </a:ln>
          <a:effectLst>
            <a:outerShdw blurRad="50800" dist="38100" dir="2700000" sx="101000" sy="101000" algn="tl" rotWithShape="0">
              <a:prstClr val="black">
                <a:alpha val="40000"/>
              </a:prstClr>
            </a:outerShdw>
          </a:effectLst>
        </c:spPr>
      </c:pivotFmt>
    </c:pivotFmts>
    <c:plotArea>
      <c:layout>
        <c:manualLayout>
          <c:layoutTarget val="inner"/>
          <c:xMode val="edge"/>
          <c:yMode val="edge"/>
          <c:x val="1.744626311631409E-2"/>
          <c:y val="0.11553791575026758"/>
          <c:w val="0.42067441856869647"/>
          <c:h val="0.32414659015260677"/>
        </c:manualLayout>
      </c:layout>
      <c:barChart>
        <c:barDir val="bar"/>
        <c:grouping val="clustered"/>
        <c:varyColors val="0"/>
        <c:ser>
          <c:idx val="0"/>
          <c:order val="0"/>
          <c:tx>
            <c:strRef>
              <c:f>'Pivot Report'!$B$41</c:f>
              <c:strCache>
                <c:ptCount val="1"/>
                <c:pt idx="0">
                  <c:v>Count of Patient Admission Flag</c:v>
                </c:pt>
              </c:strCache>
            </c:strRef>
          </c:tx>
          <c:spPr>
            <a:solidFill>
              <a:schemeClr val="accent1"/>
            </a:solidFill>
            <a:ln w="76200">
              <a:noFill/>
            </a:ln>
            <a:effectLst>
              <a:outerShdw blurRad="50800" dist="38100" dir="2700000" sx="101000" sy="101000" algn="tl" rotWithShape="0">
                <a:prstClr val="black">
                  <a:alpha val="40000"/>
                </a:prstClr>
              </a:outerShdw>
            </a:effectLst>
          </c:spPr>
          <c:invertIfNegative val="0"/>
          <c:cat>
            <c:strRef>
              <c:f>'Pivot Report'!$A$42:$A$44</c:f>
              <c:strCache>
                <c:ptCount val="2"/>
                <c:pt idx="0">
                  <c:v>Admitted</c:v>
                </c:pt>
                <c:pt idx="1">
                  <c:v>Not Admitted</c:v>
                </c:pt>
              </c:strCache>
            </c:strRef>
          </c:cat>
          <c:val>
            <c:numRef>
              <c:f>'Pivot Report'!$B$42:$B$44</c:f>
              <c:numCache>
                <c:formatCode>0</c:formatCode>
                <c:ptCount val="2"/>
                <c:pt idx="0">
                  <c:v>269</c:v>
                </c:pt>
                <c:pt idx="1">
                  <c:v>244</c:v>
                </c:pt>
              </c:numCache>
            </c:numRef>
          </c:val>
          <c:extLst>
            <c:ext xmlns:c16="http://schemas.microsoft.com/office/drawing/2014/chart" uri="{C3380CC4-5D6E-409C-BE32-E72D297353CC}">
              <c16:uniqueId val="{00000005-D27D-4F17-81C1-33B9B7BDB857}"/>
            </c:ext>
          </c:extLst>
        </c:ser>
        <c:ser>
          <c:idx val="1"/>
          <c:order val="1"/>
          <c:tx>
            <c:strRef>
              <c:f>'Pivot Report'!$C$41</c:f>
              <c:strCache>
                <c:ptCount val="1"/>
                <c:pt idx="0">
                  <c:v>Count of Patient Admission Flag2</c:v>
                </c:pt>
              </c:strCache>
            </c:strRef>
          </c:tx>
          <c:spPr>
            <a:noFill/>
            <a:ln>
              <a:noFill/>
            </a:ln>
            <a:effectLst/>
          </c:spPr>
          <c:invertIfNegative val="0"/>
          <c:cat>
            <c:strRef>
              <c:f>'Pivot Report'!$A$42:$A$44</c:f>
              <c:strCache>
                <c:ptCount val="2"/>
                <c:pt idx="0">
                  <c:v>Admitted</c:v>
                </c:pt>
                <c:pt idx="1">
                  <c:v>Not Admitted</c:v>
                </c:pt>
              </c:strCache>
            </c:strRef>
          </c:cat>
          <c:val>
            <c:numRef>
              <c:f>'Pivot Report'!$C$42:$C$44</c:f>
              <c:numCache>
                <c:formatCode>0.00%</c:formatCode>
                <c:ptCount val="2"/>
                <c:pt idx="0">
                  <c:v>0.52436647173489281</c:v>
                </c:pt>
                <c:pt idx="1">
                  <c:v>0.47563352826510719</c:v>
                </c:pt>
              </c:numCache>
            </c:numRef>
          </c:val>
          <c:extLst>
            <c:ext xmlns:c16="http://schemas.microsoft.com/office/drawing/2014/chart" uri="{C3380CC4-5D6E-409C-BE32-E72D297353CC}">
              <c16:uniqueId val="{00000006-D27D-4F17-81C1-33B9B7BDB857}"/>
            </c:ext>
          </c:extLst>
        </c:ser>
        <c:dLbls>
          <c:showLegendKey val="0"/>
          <c:showVal val="0"/>
          <c:showCatName val="0"/>
          <c:showSerName val="0"/>
          <c:showPercent val="0"/>
          <c:showBubbleSize val="0"/>
        </c:dLbls>
        <c:gapWidth val="0"/>
        <c:axId val="1423644224"/>
        <c:axId val="1423636064"/>
      </c:barChart>
      <c:catAx>
        <c:axId val="1423644224"/>
        <c:scaling>
          <c:orientation val="minMax"/>
        </c:scaling>
        <c:delete val="1"/>
        <c:axPos val="l"/>
        <c:numFmt formatCode="General" sourceLinked="1"/>
        <c:majorTickMark val="none"/>
        <c:minorTickMark val="none"/>
        <c:tickLblPos val="nextTo"/>
        <c:crossAx val="1423636064"/>
        <c:crosses val="autoZero"/>
        <c:auto val="1"/>
        <c:lblAlgn val="ctr"/>
        <c:lblOffset val="100"/>
        <c:noMultiLvlLbl val="0"/>
      </c:catAx>
      <c:valAx>
        <c:axId val="1423636064"/>
        <c:scaling>
          <c:orientation val="minMax"/>
        </c:scaling>
        <c:delete val="1"/>
        <c:axPos val="b"/>
        <c:numFmt formatCode="0" sourceLinked="1"/>
        <c:majorTickMark val="none"/>
        <c:minorTickMark val="none"/>
        <c:tickLblPos val="nextTo"/>
        <c:crossAx val="1423644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Project(AutoRecovered).xlsx]Pivot Report!PivotTable5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830574768571479E-2"/>
          <c:y val="8.1336635374640129E-2"/>
          <c:w val="0.81594151318111952"/>
          <c:h val="0.43362854529210398"/>
        </c:manualLayout>
      </c:layout>
      <c:areaChart>
        <c:grouping val="standard"/>
        <c:varyColors val="0"/>
        <c:ser>
          <c:idx val="0"/>
          <c:order val="0"/>
          <c:tx>
            <c:strRef>
              <c:f>'Pivot Report'!$D$4</c:f>
              <c:strCache>
                <c:ptCount val="1"/>
                <c:pt idx="0">
                  <c:v>Total</c:v>
                </c:pt>
              </c:strCache>
            </c:strRef>
          </c:tx>
          <c:spPr>
            <a:solidFill>
              <a:schemeClr val="accent1"/>
            </a:solidFill>
            <a:ln w="25400">
              <a:noFill/>
            </a:ln>
            <a:effectLst/>
          </c:spPr>
          <c:cat>
            <c:strRef>
              <c:f>'Pivot Report'!$C$5:$C$36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Report'!$D$5:$D$36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2-8939-4D5C-A752-EE1EE436E512}"/>
            </c:ext>
          </c:extLst>
        </c:ser>
        <c:dLbls>
          <c:showLegendKey val="0"/>
          <c:showVal val="0"/>
          <c:showCatName val="0"/>
          <c:showSerName val="0"/>
          <c:showPercent val="0"/>
          <c:showBubbleSize val="0"/>
        </c:dLbls>
        <c:axId val="297434976"/>
        <c:axId val="542305936"/>
      </c:areaChart>
      <c:catAx>
        <c:axId val="297434976"/>
        <c:scaling>
          <c:orientation val="minMax"/>
        </c:scaling>
        <c:delete val="1"/>
        <c:axPos val="b"/>
        <c:numFmt formatCode="General" sourceLinked="1"/>
        <c:majorTickMark val="out"/>
        <c:minorTickMark val="none"/>
        <c:tickLblPos val="nextTo"/>
        <c:crossAx val="542305936"/>
        <c:crosses val="autoZero"/>
        <c:auto val="1"/>
        <c:lblAlgn val="ctr"/>
        <c:lblOffset val="100"/>
        <c:noMultiLvlLbl val="0"/>
      </c:catAx>
      <c:valAx>
        <c:axId val="542305936"/>
        <c:scaling>
          <c:orientation val="minMax"/>
        </c:scaling>
        <c:delete val="1"/>
        <c:axPos val="l"/>
        <c:numFmt formatCode="General" sourceLinked="1"/>
        <c:majorTickMark val="none"/>
        <c:minorTickMark val="none"/>
        <c:tickLblPos val="nextTo"/>
        <c:crossAx val="2974349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Project(AutoRecovered).xlsx]Pivot Report!PivotTable2</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6.3601927823894136E-2"/>
          <c:w val="1"/>
          <c:h val="0.93374015748031491"/>
        </c:manualLayout>
      </c:layout>
      <c:areaChart>
        <c:grouping val="standard"/>
        <c:varyColors val="0"/>
        <c:ser>
          <c:idx val="0"/>
          <c:order val="0"/>
          <c:tx>
            <c:strRef>
              <c:f>'Pivot Report'!$M$4</c:f>
              <c:strCache>
                <c:ptCount val="1"/>
                <c:pt idx="0">
                  <c:v>Total</c:v>
                </c:pt>
              </c:strCache>
            </c:strRef>
          </c:tx>
          <c:spPr>
            <a:solidFill>
              <a:schemeClr val="accent1"/>
            </a:solidFill>
            <a:ln w="25400">
              <a:noFill/>
            </a:ln>
            <a:effectLst/>
          </c:spPr>
          <c:cat>
            <c:strRef>
              <c:f>'Pivot Report'!$L$5:$L$36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Report'!$M$5:$M$36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2-C1DC-4705-896D-9F8C6965D877}"/>
            </c:ext>
          </c:extLst>
        </c:ser>
        <c:dLbls>
          <c:showLegendKey val="0"/>
          <c:showVal val="0"/>
          <c:showCatName val="0"/>
          <c:showSerName val="0"/>
          <c:showPercent val="0"/>
          <c:showBubbleSize val="0"/>
        </c:dLbls>
        <c:axId val="1129616736"/>
        <c:axId val="1129607616"/>
      </c:areaChart>
      <c:catAx>
        <c:axId val="1129616736"/>
        <c:scaling>
          <c:orientation val="minMax"/>
        </c:scaling>
        <c:delete val="1"/>
        <c:axPos val="b"/>
        <c:numFmt formatCode="General" sourceLinked="1"/>
        <c:majorTickMark val="out"/>
        <c:minorTickMark val="none"/>
        <c:tickLblPos val="nextTo"/>
        <c:crossAx val="1129607616"/>
        <c:crosses val="autoZero"/>
        <c:auto val="1"/>
        <c:lblAlgn val="ctr"/>
        <c:lblOffset val="100"/>
        <c:noMultiLvlLbl val="0"/>
      </c:catAx>
      <c:valAx>
        <c:axId val="1129607616"/>
        <c:scaling>
          <c:orientation val="minMax"/>
        </c:scaling>
        <c:delete val="1"/>
        <c:axPos val="l"/>
        <c:numFmt formatCode="0.00" sourceLinked="1"/>
        <c:majorTickMark val="none"/>
        <c:minorTickMark val="none"/>
        <c:tickLblPos val="nextTo"/>
        <c:crossAx val="11296167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Project(AutoRecovered).xlsx]Pivot Report!PivotTable6</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0.99177232666571713"/>
        </c:manualLayout>
      </c:layout>
      <c:areaChart>
        <c:grouping val="standard"/>
        <c:varyColors val="0"/>
        <c:ser>
          <c:idx val="0"/>
          <c:order val="0"/>
          <c:tx>
            <c:strRef>
              <c:f>'Pivot Report'!$S$4</c:f>
              <c:strCache>
                <c:ptCount val="1"/>
                <c:pt idx="0">
                  <c:v>Total</c:v>
                </c:pt>
              </c:strCache>
            </c:strRef>
          </c:tx>
          <c:spPr>
            <a:solidFill>
              <a:schemeClr val="accent1"/>
            </a:solidFill>
            <a:ln w="25400">
              <a:noFill/>
            </a:ln>
            <a:effectLst/>
          </c:spPr>
          <c:cat>
            <c:strRef>
              <c:f>'Pivot Report'!$R$5:$R$36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Report'!$S$5:$S$36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2-85AB-4CE2-A96E-EAFBEF427DE1}"/>
            </c:ext>
          </c:extLst>
        </c:ser>
        <c:dLbls>
          <c:showLegendKey val="0"/>
          <c:showVal val="0"/>
          <c:showCatName val="0"/>
          <c:showSerName val="0"/>
          <c:showPercent val="0"/>
          <c:showBubbleSize val="0"/>
        </c:dLbls>
        <c:axId val="1129578336"/>
        <c:axId val="1129574496"/>
      </c:areaChart>
      <c:catAx>
        <c:axId val="1129578336"/>
        <c:scaling>
          <c:orientation val="minMax"/>
        </c:scaling>
        <c:delete val="1"/>
        <c:axPos val="b"/>
        <c:numFmt formatCode="General" sourceLinked="1"/>
        <c:majorTickMark val="out"/>
        <c:minorTickMark val="none"/>
        <c:tickLblPos val="nextTo"/>
        <c:crossAx val="1129574496"/>
        <c:crosses val="autoZero"/>
        <c:auto val="1"/>
        <c:lblAlgn val="ctr"/>
        <c:lblOffset val="100"/>
        <c:noMultiLvlLbl val="0"/>
      </c:catAx>
      <c:valAx>
        <c:axId val="1129574496"/>
        <c:scaling>
          <c:orientation val="minMax"/>
        </c:scaling>
        <c:delete val="1"/>
        <c:axPos val="l"/>
        <c:numFmt formatCode="0.00" sourceLinked="1"/>
        <c:majorTickMark val="none"/>
        <c:minorTickMark val="none"/>
        <c:tickLblPos val="nextTo"/>
        <c:crossAx val="11295783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Project(AutoRecovered).xlsx]Pivot Report!PivotTable8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280579825633359E-2"/>
          <c:y val="0.28974703331458967"/>
          <c:w val="0.9373631219439581"/>
          <c:h val="0.54232500399285644"/>
        </c:manualLayout>
      </c:layout>
      <c:barChart>
        <c:barDir val="col"/>
        <c:grouping val="clustered"/>
        <c:varyColors val="0"/>
        <c:ser>
          <c:idx val="0"/>
          <c:order val="0"/>
          <c:tx>
            <c:strRef>
              <c:f>'Pivot Report'!$B$59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Report'!$A$60:$A$68</c:f>
              <c:strCache>
                <c:ptCount val="8"/>
                <c:pt idx="0">
                  <c:v>0-09</c:v>
                </c:pt>
                <c:pt idx="1">
                  <c:v>10-19</c:v>
                </c:pt>
                <c:pt idx="2">
                  <c:v>20-29</c:v>
                </c:pt>
                <c:pt idx="3">
                  <c:v>30-39</c:v>
                </c:pt>
                <c:pt idx="4">
                  <c:v>40-49</c:v>
                </c:pt>
                <c:pt idx="5">
                  <c:v>50-59</c:v>
                </c:pt>
                <c:pt idx="6">
                  <c:v>60-69</c:v>
                </c:pt>
                <c:pt idx="7">
                  <c:v>70-79</c:v>
                </c:pt>
              </c:strCache>
            </c:strRef>
          </c:cat>
          <c:val>
            <c:numRef>
              <c:f>'Pivot Report'!$B$60:$B$68</c:f>
              <c:numCache>
                <c:formatCode>0</c:formatCode>
                <c:ptCount val="8"/>
                <c:pt idx="0">
                  <c:v>72</c:v>
                </c:pt>
                <c:pt idx="1">
                  <c:v>68</c:v>
                </c:pt>
                <c:pt idx="2">
                  <c:v>58</c:v>
                </c:pt>
                <c:pt idx="3">
                  <c:v>64</c:v>
                </c:pt>
                <c:pt idx="4">
                  <c:v>58</c:v>
                </c:pt>
                <c:pt idx="5">
                  <c:v>68</c:v>
                </c:pt>
                <c:pt idx="6">
                  <c:v>68</c:v>
                </c:pt>
                <c:pt idx="7">
                  <c:v>57</c:v>
                </c:pt>
              </c:numCache>
            </c:numRef>
          </c:val>
          <c:extLst>
            <c:ext xmlns:c16="http://schemas.microsoft.com/office/drawing/2014/chart" uri="{C3380CC4-5D6E-409C-BE32-E72D297353CC}">
              <c16:uniqueId val="{00000002-3E27-43E1-AA5B-53BE14DA8BAB}"/>
            </c:ext>
          </c:extLst>
        </c:ser>
        <c:dLbls>
          <c:showLegendKey val="0"/>
          <c:showVal val="0"/>
          <c:showCatName val="0"/>
          <c:showSerName val="0"/>
          <c:showPercent val="0"/>
          <c:showBubbleSize val="0"/>
        </c:dLbls>
        <c:gapWidth val="219"/>
        <c:overlap val="-27"/>
        <c:axId val="158238064"/>
        <c:axId val="158238544"/>
      </c:barChart>
      <c:catAx>
        <c:axId val="15823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58238544"/>
        <c:crosses val="autoZero"/>
        <c:auto val="1"/>
        <c:lblAlgn val="ctr"/>
        <c:lblOffset val="100"/>
        <c:noMultiLvlLbl val="0"/>
      </c:catAx>
      <c:valAx>
        <c:axId val="158238544"/>
        <c:scaling>
          <c:orientation val="minMax"/>
        </c:scaling>
        <c:delete val="1"/>
        <c:axPos val="l"/>
        <c:numFmt formatCode="0" sourceLinked="1"/>
        <c:majorTickMark val="none"/>
        <c:minorTickMark val="none"/>
        <c:tickLblPos val="nextTo"/>
        <c:crossAx val="158238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Project(AutoRecovered).xlsx]Pivot Report!PivotTable9</c:name>
    <c:fmtId val="12"/>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50800" dist="38100" algn="l" rotWithShape="0">
              <a:prstClr val="black">
                <a:alpha val="40000"/>
              </a:prstClr>
            </a:outerShdw>
          </a:effectLst>
        </c:spPr>
      </c:pivotFmt>
      <c:pivotFmt>
        <c:idx val="6"/>
        <c:spPr>
          <a:solidFill>
            <a:schemeClr val="accent1"/>
          </a:solidFill>
          <a:ln>
            <a:noFill/>
          </a:ln>
          <a:effectLst>
            <a:outerShdw blurRad="50800" dist="38100" algn="l" rotWithShape="0">
              <a:prstClr val="black">
                <a:alpha val="40000"/>
              </a:prstClr>
            </a:outerShdw>
          </a:effectLst>
        </c:spPr>
      </c:pivotFmt>
    </c:pivotFmts>
    <c:plotArea>
      <c:layout>
        <c:manualLayout>
          <c:layoutTarget val="inner"/>
          <c:xMode val="edge"/>
          <c:yMode val="edge"/>
          <c:x val="0.19991698559542823"/>
          <c:y val="0.17002983737625826"/>
          <c:w val="0.63682747454744038"/>
          <c:h val="0.74945721388823827"/>
        </c:manualLayout>
      </c:layout>
      <c:pieChart>
        <c:varyColors val="1"/>
        <c:ser>
          <c:idx val="0"/>
          <c:order val="0"/>
          <c:tx>
            <c:strRef>
              <c:f>'Pivot Report'!$H$68</c:f>
              <c:strCache>
                <c:ptCount val="1"/>
                <c:pt idx="0">
                  <c:v>Total</c:v>
                </c:pt>
              </c:strCache>
            </c:strRef>
          </c:tx>
          <c:spPr>
            <a:effectLst>
              <a:outerShdw blurRad="50800" dist="38100" algn="l" rotWithShape="0">
                <a:prstClr val="black">
                  <a:alpha val="40000"/>
                </a:prstClr>
              </a:outerShdw>
            </a:effectLst>
          </c:spPr>
          <c:dPt>
            <c:idx val="0"/>
            <c:bubble3D val="0"/>
            <c:spPr>
              <a:solidFill>
                <a:schemeClr val="accent1"/>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1-C10E-457E-8C58-B02AC302331D}"/>
              </c:ext>
            </c:extLst>
          </c:dPt>
          <c:dPt>
            <c:idx val="1"/>
            <c:bubble3D val="0"/>
            <c:spPr>
              <a:solidFill>
                <a:schemeClr val="accent2"/>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3-C10E-457E-8C58-B02AC302331D}"/>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Report'!$G$69:$G$71</c:f>
              <c:strCache>
                <c:ptCount val="2"/>
                <c:pt idx="0">
                  <c:v>Delay</c:v>
                </c:pt>
                <c:pt idx="1">
                  <c:v>Within Time</c:v>
                </c:pt>
              </c:strCache>
            </c:strRef>
          </c:cat>
          <c:val>
            <c:numRef>
              <c:f>'Pivot Report'!$H$69:$H$71</c:f>
              <c:numCache>
                <c:formatCode>0</c:formatCode>
                <c:ptCount val="2"/>
                <c:pt idx="0">
                  <c:v>316</c:v>
                </c:pt>
                <c:pt idx="1">
                  <c:v>197</c:v>
                </c:pt>
              </c:numCache>
            </c:numRef>
          </c:val>
          <c:extLst>
            <c:ext xmlns:c16="http://schemas.microsoft.com/office/drawing/2014/chart" uri="{C3380CC4-5D6E-409C-BE32-E72D297353CC}">
              <c16:uniqueId val="{00000006-4A96-408B-BB52-ECFBC83DF8B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5205552312599413"/>
          <c:y val="1.5619248583244583E-3"/>
          <c:w val="0.75118529713841964"/>
          <c:h val="0.15859459354298999"/>
        </c:manualLayout>
      </c:layout>
      <c:overlay val="0"/>
      <c:spPr>
        <a:solidFill>
          <a:schemeClr val="lt1">
            <a:alpha val="78000"/>
          </a:schemeClr>
        </a:solid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Project(AutoRecovered).xlsx]Pivot Report!PivotTable10</c:name>
    <c:fmtId val="16"/>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5088452594707563"/>
          <c:y val="0.19417515992908169"/>
          <c:w val="0.63395061023850274"/>
          <c:h val="0.80582484007091826"/>
        </c:manualLayout>
      </c:layout>
      <c:doughnutChart>
        <c:varyColors val="1"/>
        <c:ser>
          <c:idx val="0"/>
          <c:order val="0"/>
          <c:tx>
            <c:strRef>
              <c:f>'Pivot Report'!$C$75</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47F5-49F3-9D1B-3B0BBC195113}"/>
              </c:ext>
            </c:extLst>
          </c:dPt>
          <c:dPt>
            <c:idx val="1"/>
            <c:bubble3D val="0"/>
            <c:spPr>
              <a:solidFill>
                <a:schemeClr val="accent2"/>
              </a:solidFill>
              <a:ln>
                <a:noFill/>
              </a:ln>
              <a:effectLst/>
            </c:spPr>
            <c:extLst>
              <c:ext xmlns:c16="http://schemas.microsoft.com/office/drawing/2014/chart" uri="{C3380CC4-5D6E-409C-BE32-E72D297353CC}">
                <c16:uniqueId val="{00000003-47F5-49F3-9D1B-3B0BBC195113}"/>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Report'!$B$76:$B$78</c:f>
              <c:strCache>
                <c:ptCount val="2"/>
                <c:pt idx="0">
                  <c:v>Female</c:v>
                </c:pt>
                <c:pt idx="1">
                  <c:v>Male</c:v>
                </c:pt>
              </c:strCache>
            </c:strRef>
          </c:cat>
          <c:val>
            <c:numRef>
              <c:f>'Pivot Report'!$C$76:$C$78</c:f>
              <c:numCache>
                <c:formatCode>0</c:formatCode>
                <c:ptCount val="2"/>
                <c:pt idx="0">
                  <c:v>241</c:v>
                </c:pt>
                <c:pt idx="1">
                  <c:v>272</c:v>
                </c:pt>
              </c:numCache>
            </c:numRef>
          </c:val>
          <c:extLst>
            <c:ext xmlns:c16="http://schemas.microsoft.com/office/drawing/2014/chart" uri="{C3380CC4-5D6E-409C-BE32-E72D297353CC}">
              <c16:uniqueId val="{00000006-4121-4163-BCCB-47E8CE37C206}"/>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r"/>
      <c:layout>
        <c:manualLayout>
          <c:xMode val="edge"/>
          <c:yMode val="edge"/>
          <c:x val="0.15182272690965345"/>
          <c:y val="6.0070360237865113E-3"/>
          <c:w val="0.69794392035849762"/>
          <c:h val="0.19399234965516113"/>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Project(AutoRecovered).xlsx]Pivot Report!PivotTable11</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088877392162443"/>
          <c:y val="0.11042570432534592"/>
          <c:w val="0.60354277738832296"/>
          <c:h val="0.85401901443173001"/>
        </c:manualLayout>
      </c:layout>
      <c:barChart>
        <c:barDir val="bar"/>
        <c:grouping val="clustered"/>
        <c:varyColors val="0"/>
        <c:ser>
          <c:idx val="0"/>
          <c:order val="0"/>
          <c:tx>
            <c:strRef>
              <c:f>'Pivot Report'!$G$77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Report'!$F$78:$F$86</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Report'!$G$78:$G$86</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2-0FF9-4028-9CA1-5DCE187B5AF1}"/>
            </c:ext>
          </c:extLst>
        </c:ser>
        <c:dLbls>
          <c:showLegendKey val="0"/>
          <c:showVal val="0"/>
          <c:showCatName val="0"/>
          <c:showSerName val="0"/>
          <c:showPercent val="0"/>
          <c:showBubbleSize val="0"/>
        </c:dLbls>
        <c:gapWidth val="30"/>
        <c:axId val="1472714815"/>
        <c:axId val="1472714335"/>
      </c:barChart>
      <c:catAx>
        <c:axId val="1472714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472714335"/>
        <c:crosses val="autoZero"/>
        <c:auto val="1"/>
        <c:lblAlgn val="ctr"/>
        <c:lblOffset val="100"/>
        <c:noMultiLvlLbl val="0"/>
      </c:catAx>
      <c:valAx>
        <c:axId val="1472714335"/>
        <c:scaling>
          <c:orientation val="minMax"/>
        </c:scaling>
        <c:delete val="1"/>
        <c:axPos val="b"/>
        <c:numFmt formatCode="0" sourceLinked="1"/>
        <c:majorTickMark val="none"/>
        <c:minorTickMark val="none"/>
        <c:tickLblPos val="nextTo"/>
        <c:crossAx val="1472714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 Project(AutoRecovered).xlsx]Pivot Report!PivotTable2</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132989810097267E-2"/>
          <c:y val="6.4102453372487489E-2"/>
          <c:w val="0.95893990273274665"/>
          <c:h val="0.87083303343937568"/>
        </c:manualLayout>
      </c:layout>
      <c:areaChart>
        <c:grouping val="standard"/>
        <c:varyColors val="0"/>
        <c:ser>
          <c:idx val="0"/>
          <c:order val="0"/>
          <c:tx>
            <c:strRef>
              <c:f>'Pivot Report'!$M$4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Report'!$L$5:$L$36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Report'!$M$5:$M$36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2-1868-4629-8026-D081BFCCA54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29616736"/>
        <c:axId val="1129607616"/>
      </c:areaChart>
      <c:catAx>
        <c:axId val="112961673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400" b="0" i="0" u="none" strike="noStrike" kern="1200" baseline="0">
                <a:solidFill>
                  <a:schemeClr val="lt1"/>
                </a:solidFill>
                <a:latin typeface="+mn-lt"/>
                <a:ea typeface="+mn-ea"/>
                <a:cs typeface="+mn-cs"/>
              </a:defRPr>
            </a:pPr>
            <a:endParaRPr lang="en-US"/>
          </a:p>
        </c:txPr>
        <c:crossAx val="1129607616"/>
        <c:crosses val="autoZero"/>
        <c:auto val="1"/>
        <c:lblAlgn val="ctr"/>
        <c:lblOffset val="100"/>
        <c:noMultiLvlLbl val="0"/>
      </c:catAx>
      <c:valAx>
        <c:axId val="1129607616"/>
        <c:scaling>
          <c:orientation val="minMax"/>
        </c:scaling>
        <c:delete val="1"/>
        <c:axPos val="l"/>
        <c:numFmt formatCode="0.00" sourceLinked="1"/>
        <c:majorTickMark val="out"/>
        <c:minorTickMark val="none"/>
        <c:tickLblPos val="nextTo"/>
        <c:crossAx val="11296167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Project(AutoRecovered).xlsx]Pivot Report!PivotTable5</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173398838573135E-2"/>
          <c:y val="0.14151046557175737"/>
          <c:w val="0.85730822474805601"/>
          <c:h val="0.48535959664514394"/>
        </c:manualLayout>
      </c:layout>
      <c:areaChart>
        <c:grouping val="standard"/>
        <c:varyColors val="0"/>
        <c:ser>
          <c:idx val="0"/>
          <c:order val="0"/>
          <c:tx>
            <c:strRef>
              <c:f>'Pivot Report'!$D$4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Report'!$C$5:$C$36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Report'!$D$5:$D$36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2-4B6C-43ED-A4F5-204FEAF0844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97434976"/>
        <c:axId val="542305936"/>
      </c:areaChart>
      <c:catAx>
        <c:axId val="297434976"/>
        <c:scaling>
          <c:orientation val="minMax"/>
        </c:scaling>
        <c:delete val="0"/>
        <c:axPos val="b"/>
        <c:numFmt formatCode="General" sourceLinked="1"/>
        <c:majorTickMark val="none"/>
        <c:minorTickMark val="none"/>
        <c:tickLblPos val="nextTo"/>
        <c:spPr>
          <a:noFill/>
          <a:ln w="9525" cap="flat" cmpd="sng" algn="ctr">
            <a:solidFill>
              <a:schemeClr val="accent1">
                <a:lumMod val="7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crossAx val="542305936"/>
        <c:crosses val="autoZero"/>
        <c:auto val="1"/>
        <c:lblAlgn val="ctr"/>
        <c:lblOffset val="100"/>
        <c:noMultiLvlLbl val="0"/>
      </c:catAx>
      <c:valAx>
        <c:axId val="542305936"/>
        <c:scaling>
          <c:orientation val="minMax"/>
        </c:scaling>
        <c:delete val="1"/>
        <c:axPos val="l"/>
        <c:numFmt formatCode="General" sourceLinked="1"/>
        <c:majorTickMark val="out"/>
        <c:minorTickMark val="none"/>
        <c:tickLblPos val="nextTo"/>
        <c:crossAx val="2974349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Project(AutoRecovered).xlsx]Pivot Report!PivotTable6</c:name>
    <c:fmtId val="3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584869929511718E-2"/>
          <c:y val="0"/>
          <c:w val="0.9468302601409766"/>
          <c:h val="0.76840372598458917"/>
        </c:manualLayout>
      </c:layout>
      <c:areaChart>
        <c:grouping val="standard"/>
        <c:varyColors val="0"/>
        <c:ser>
          <c:idx val="0"/>
          <c:order val="0"/>
          <c:tx>
            <c:strRef>
              <c:f>'Pivot Report'!$S$4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Report'!$R$5:$R$36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Report'!$S$5:$S$36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1-D749-47C6-9039-3AAC9AF3D58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29578336"/>
        <c:axId val="1129574496"/>
      </c:areaChart>
      <c:catAx>
        <c:axId val="112957833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29574496"/>
        <c:crosses val="autoZero"/>
        <c:auto val="1"/>
        <c:lblAlgn val="ctr"/>
        <c:lblOffset val="100"/>
        <c:noMultiLvlLbl val="0"/>
      </c:catAx>
      <c:valAx>
        <c:axId val="1129574496"/>
        <c:scaling>
          <c:orientation val="minMax"/>
        </c:scaling>
        <c:delete val="1"/>
        <c:axPos val="l"/>
        <c:numFmt formatCode="0.00" sourceLinked="1"/>
        <c:majorTickMark val="out"/>
        <c:minorTickMark val="none"/>
        <c:tickLblPos val="nextTo"/>
        <c:crossAx val="11295783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1">
  <a:schemeClr val="accent1"/>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2</xdr:col>
      <xdr:colOff>1410140</xdr:colOff>
      <xdr:row>48</xdr:row>
      <xdr:rowOff>17517</xdr:rowOff>
    </xdr:from>
    <xdr:to>
      <xdr:col>6</xdr:col>
      <xdr:colOff>856379</xdr:colOff>
      <xdr:row>54</xdr:row>
      <xdr:rowOff>79722</xdr:rowOff>
    </xdr:to>
    <xdr:graphicFrame macro="">
      <xdr:nvGraphicFramePr>
        <xdr:cNvPr id="6" name="Chart 5">
          <a:extLst>
            <a:ext uri="{FF2B5EF4-FFF2-40B4-BE49-F238E27FC236}">
              <a16:creationId xmlns:a16="http://schemas.microsoft.com/office/drawing/2014/main" id="{B2AFB77A-58B4-FE24-50C9-CD9DF1DBBE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34832</xdr:colOff>
      <xdr:row>0</xdr:row>
      <xdr:rowOff>64477</xdr:rowOff>
    </xdr:from>
    <xdr:to>
      <xdr:col>5</xdr:col>
      <xdr:colOff>182879</xdr:colOff>
      <xdr:row>2</xdr:row>
      <xdr:rowOff>130628</xdr:rowOff>
    </xdr:to>
    <xdr:sp macro="" textlink="">
      <xdr:nvSpPr>
        <xdr:cNvPr id="2" name="Rectangle: Rounded Corners 1">
          <a:extLst>
            <a:ext uri="{FF2B5EF4-FFF2-40B4-BE49-F238E27FC236}">
              <a16:creationId xmlns:a16="http://schemas.microsoft.com/office/drawing/2014/main" id="{242BDDF8-7549-D134-FAA8-EE43998CDD09}"/>
            </a:ext>
          </a:extLst>
        </xdr:cNvPr>
        <xdr:cNvSpPr/>
      </xdr:nvSpPr>
      <xdr:spPr>
        <a:xfrm>
          <a:off x="34832" y="64477"/>
          <a:ext cx="3196047" cy="429566"/>
        </a:xfrm>
        <a:prstGeom prst="roundRect">
          <a:avLst>
            <a:gd name="adj" fmla="val 1860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226425</xdr:colOff>
      <xdr:row>0</xdr:row>
      <xdr:rowOff>58614</xdr:rowOff>
    </xdr:from>
    <xdr:to>
      <xdr:col>7</xdr:col>
      <xdr:colOff>87923</xdr:colOff>
      <xdr:row>2</xdr:row>
      <xdr:rowOff>130626</xdr:rowOff>
    </xdr:to>
    <xdr:sp macro="" textlink="">
      <xdr:nvSpPr>
        <xdr:cNvPr id="3" name="Rectangle: Rounded Corners 2">
          <a:extLst>
            <a:ext uri="{FF2B5EF4-FFF2-40B4-BE49-F238E27FC236}">
              <a16:creationId xmlns:a16="http://schemas.microsoft.com/office/drawing/2014/main" id="{154DBF70-764C-46E4-A107-F599447D7BDD}"/>
            </a:ext>
          </a:extLst>
        </xdr:cNvPr>
        <xdr:cNvSpPr/>
      </xdr:nvSpPr>
      <xdr:spPr>
        <a:xfrm>
          <a:off x="3264464" y="58614"/>
          <a:ext cx="1076714" cy="440561"/>
        </a:xfrm>
        <a:prstGeom prst="roundRect">
          <a:avLst>
            <a:gd name="adj" fmla="val 1860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137159</xdr:colOff>
      <xdr:row>0</xdr:row>
      <xdr:rowOff>56605</xdr:rowOff>
    </xdr:from>
    <xdr:to>
      <xdr:col>9</xdr:col>
      <xdr:colOff>154576</xdr:colOff>
      <xdr:row>6</xdr:row>
      <xdr:rowOff>69667</xdr:rowOff>
    </xdr:to>
    <xdr:sp macro="" textlink="">
      <xdr:nvSpPr>
        <xdr:cNvPr id="4" name="Rectangle: Rounded Corners 3">
          <a:extLst>
            <a:ext uri="{FF2B5EF4-FFF2-40B4-BE49-F238E27FC236}">
              <a16:creationId xmlns:a16="http://schemas.microsoft.com/office/drawing/2014/main" id="{FCE63004-A011-48DC-A834-FE10CFD80F59}"/>
            </a:ext>
          </a:extLst>
        </xdr:cNvPr>
        <xdr:cNvSpPr/>
      </xdr:nvSpPr>
      <xdr:spPr>
        <a:xfrm>
          <a:off x="4404359" y="56605"/>
          <a:ext cx="1236617" cy="1103308"/>
        </a:xfrm>
        <a:prstGeom prst="roundRect">
          <a:avLst>
            <a:gd name="adj" fmla="val 470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206827</xdr:colOff>
      <xdr:row>0</xdr:row>
      <xdr:rowOff>56606</xdr:rowOff>
    </xdr:from>
    <xdr:to>
      <xdr:col>11</xdr:col>
      <xdr:colOff>224244</xdr:colOff>
      <xdr:row>6</xdr:row>
      <xdr:rowOff>78377</xdr:rowOff>
    </xdr:to>
    <xdr:sp macro="" textlink="">
      <xdr:nvSpPr>
        <xdr:cNvPr id="5" name="Rectangle: Rounded Corners 4">
          <a:extLst>
            <a:ext uri="{FF2B5EF4-FFF2-40B4-BE49-F238E27FC236}">
              <a16:creationId xmlns:a16="http://schemas.microsoft.com/office/drawing/2014/main" id="{7E0BFF28-48EB-4698-AEC2-3DE6BF32CE82}"/>
            </a:ext>
          </a:extLst>
        </xdr:cNvPr>
        <xdr:cNvSpPr/>
      </xdr:nvSpPr>
      <xdr:spPr>
        <a:xfrm>
          <a:off x="5693227" y="56606"/>
          <a:ext cx="1236617" cy="1112017"/>
        </a:xfrm>
        <a:prstGeom prst="roundRect">
          <a:avLst>
            <a:gd name="adj" fmla="val 470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44370</xdr:colOff>
      <xdr:row>2</xdr:row>
      <xdr:rowOff>174171</xdr:rowOff>
    </xdr:from>
    <xdr:to>
      <xdr:col>1</xdr:col>
      <xdr:colOff>147219</xdr:colOff>
      <xdr:row>15</xdr:row>
      <xdr:rowOff>104502</xdr:rowOff>
    </xdr:to>
    <xdr:sp macro="" textlink="">
      <xdr:nvSpPr>
        <xdr:cNvPr id="6" name="Rectangle: Rounded Corners 5">
          <a:extLst>
            <a:ext uri="{FF2B5EF4-FFF2-40B4-BE49-F238E27FC236}">
              <a16:creationId xmlns:a16="http://schemas.microsoft.com/office/drawing/2014/main" id="{88A6135F-1B28-4B14-B010-43863D20D131}"/>
            </a:ext>
          </a:extLst>
        </xdr:cNvPr>
        <xdr:cNvSpPr/>
      </xdr:nvSpPr>
      <xdr:spPr>
        <a:xfrm>
          <a:off x="44370" y="539931"/>
          <a:ext cx="712449" cy="2307771"/>
        </a:xfrm>
        <a:prstGeom prst="roundRect">
          <a:avLst>
            <a:gd name="adj" fmla="val 5367"/>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editAs="absolute">
    <xdr:from>
      <xdr:col>1</xdr:col>
      <xdr:colOff>167463</xdr:colOff>
      <xdr:row>2</xdr:row>
      <xdr:rowOff>175846</xdr:rowOff>
    </xdr:from>
    <xdr:to>
      <xdr:col>3</xdr:col>
      <xdr:colOff>76469</xdr:colOff>
      <xdr:row>6</xdr:row>
      <xdr:rowOff>171756</xdr:rowOff>
    </xdr:to>
    <xdr:sp macro="" textlink="">
      <xdr:nvSpPr>
        <xdr:cNvPr id="7" name="Rectangle: Rounded Corners 6">
          <a:extLst>
            <a:ext uri="{FF2B5EF4-FFF2-40B4-BE49-F238E27FC236}">
              <a16:creationId xmlns:a16="http://schemas.microsoft.com/office/drawing/2014/main" id="{572C88EB-7C17-ED6C-8BC9-A7E3EC64D845}"/>
            </a:ext>
          </a:extLst>
        </xdr:cNvPr>
        <xdr:cNvSpPr/>
      </xdr:nvSpPr>
      <xdr:spPr>
        <a:xfrm>
          <a:off x="777063" y="539261"/>
          <a:ext cx="1128206" cy="722741"/>
        </a:xfrm>
        <a:prstGeom prst="roundRect">
          <a:avLst>
            <a:gd name="adj" fmla="val 609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128952</xdr:colOff>
      <xdr:row>3</xdr:row>
      <xdr:rowOff>0</xdr:rowOff>
    </xdr:from>
    <xdr:to>
      <xdr:col>5</xdr:col>
      <xdr:colOff>41030</xdr:colOff>
      <xdr:row>6</xdr:row>
      <xdr:rowOff>175846</xdr:rowOff>
    </xdr:to>
    <xdr:sp macro="" textlink="">
      <xdr:nvSpPr>
        <xdr:cNvPr id="10" name="Rectangle: Rounded Corners 9">
          <a:extLst>
            <a:ext uri="{FF2B5EF4-FFF2-40B4-BE49-F238E27FC236}">
              <a16:creationId xmlns:a16="http://schemas.microsoft.com/office/drawing/2014/main" id="{25F4FA69-DF3C-A05E-149F-764C07DDB82E}"/>
            </a:ext>
          </a:extLst>
        </xdr:cNvPr>
        <xdr:cNvSpPr/>
      </xdr:nvSpPr>
      <xdr:spPr>
        <a:xfrm>
          <a:off x="1957752" y="545123"/>
          <a:ext cx="1131278" cy="720969"/>
        </a:xfrm>
        <a:prstGeom prst="roundRect">
          <a:avLst>
            <a:gd name="adj" fmla="val 609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87922</xdr:colOff>
      <xdr:row>2</xdr:row>
      <xdr:rowOff>175246</xdr:rowOff>
    </xdr:from>
    <xdr:to>
      <xdr:col>7</xdr:col>
      <xdr:colOff>76199</xdr:colOff>
      <xdr:row>6</xdr:row>
      <xdr:rowOff>169984</xdr:rowOff>
    </xdr:to>
    <xdr:sp macro="" textlink="">
      <xdr:nvSpPr>
        <xdr:cNvPr id="11" name="Rectangle: Rounded Corners 10">
          <a:extLst>
            <a:ext uri="{FF2B5EF4-FFF2-40B4-BE49-F238E27FC236}">
              <a16:creationId xmlns:a16="http://schemas.microsoft.com/office/drawing/2014/main" id="{F06E6AD3-E5FC-4A83-F4C7-FB7DE0F22EBD}"/>
            </a:ext>
          </a:extLst>
        </xdr:cNvPr>
        <xdr:cNvSpPr/>
      </xdr:nvSpPr>
      <xdr:spPr>
        <a:xfrm>
          <a:off x="3135922" y="538661"/>
          <a:ext cx="1207477" cy="721569"/>
        </a:xfrm>
        <a:prstGeom prst="roundRect">
          <a:avLst>
            <a:gd name="adj" fmla="val 1015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153419</xdr:colOff>
      <xdr:row>9</xdr:row>
      <xdr:rowOff>104499</xdr:rowOff>
    </xdr:from>
    <xdr:to>
      <xdr:col>7</xdr:col>
      <xdr:colOff>57636</xdr:colOff>
      <xdr:row>16</xdr:row>
      <xdr:rowOff>58614</xdr:rowOff>
    </xdr:to>
    <xdr:sp macro="" textlink="">
      <xdr:nvSpPr>
        <xdr:cNvPr id="17" name="Rectangle: Rounded Corners 16">
          <a:extLst>
            <a:ext uri="{FF2B5EF4-FFF2-40B4-BE49-F238E27FC236}">
              <a16:creationId xmlns:a16="http://schemas.microsoft.com/office/drawing/2014/main" id="{9F3A76F7-633B-2F5B-9342-78AD328F00FA}"/>
            </a:ext>
          </a:extLst>
        </xdr:cNvPr>
        <xdr:cNvSpPr/>
      </xdr:nvSpPr>
      <xdr:spPr>
        <a:xfrm>
          <a:off x="763019" y="1761849"/>
          <a:ext cx="3561817" cy="1243165"/>
        </a:xfrm>
        <a:prstGeom prst="roundRect">
          <a:avLst>
            <a:gd name="adj" fmla="val 727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145926</xdr:colOff>
      <xdr:row>7</xdr:row>
      <xdr:rowOff>29824</xdr:rowOff>
    </xdr:from>
    <xdr:to>
      <xdr:col>7</xdr:col>
      <xdr:colOff>63500</xdr:colOff>
      <xdr:row>9</xdr:row>
      <xdr:rowOff>51597</xdr:rowOff>
    </xdr:to>
    <xdr:sp macro="" textlink="">
      <xdr:nvSpPr>
        <xdr:cNvPr id="18" name="Rectangle: Rounded Corners 17">
          <a:extLst>
            <a:ext uri="{FF2B5EF4-FFF2-40B4-BE49-F238E27FC236}">
              <a16:creationId xmlns:a16="http://schemas.microsoft.com/office/drawing/2014/main" id="{8DA01888-D866-091D-6CB2-1231CD3DCF2D}"/>
            </a:ext>
          </a:extLst>
        </xdr:cNvPr>
        <xdr:cNvSpPr/>
      </xdr:nvSpPr>
      <xdr:spPr>
        <a:xfrm>
          <a:off x="755526" y="1318874"/>
          <a:ext cx="3575174" cy="390073"/>
        </a:xfrm>
        <a:prstGeom prst="roundRect">
          <a:avLst>
            <a:gd name="adj" fmla="val 1065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117230</xdr:colOff>
      <xdr:row>6</xdr:row>
      <xdr:rowOff>117228</xdr:rowOff>
    </xdr:from>
    <xdr:to>
      <xdr:col>11</xdr:col>
      <xdr:colOff>228599</xdr:colOff>
      <xdr:row>16</xdr:row>
      <xdr:rowOff>64476</xdr:rowOff>
    </xdr:to>
    <xdr:sp macro="" textlink="">
      <xdr:nvSpPr>
        <xdr:cNvPr id="16" name="Rectangle: Rounded Corners 15">
          <a:extLst>
            <a:ext uri="{FF2B5EF4-FFF2-40B4-BE49-F238E27FC236}">
              <a16:creationId xmlns:a16="http://schemas.microsoft.com/office/drawing/2014/main" id="{EFB60E58-6415-513D-35B5-C037628F6D0E}"/>
            </a:ext>
          </a:extLst>
        </xdr:cNvPr>
        <xdr:cNvSpPr/>
      </xdr:nvSpPr>
      <xdr:spPr>
        <a:xfrm>
          <a:off x="4370485" y="1222875"/>
          <a:ext cx="2541800" cy="1789993"/>
        </a:xfrm>
        <a:prstGeom prst="roundRect">
          <a:avLst>
            <a:gd name="adj" fmla="val 632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nnn</a:t>
          </a:r>
        </a:p>
      </xdr:txBody>
    </xdr:sp>
    <xdr:clientData/>
  </xdr:twoCellAnchor>
  <xdr:twoCellAnchor editAs="absolute">
    <xdr:from>
      <xdr:col>1</xdr:col>
      <xdr:colOff>64475</xdr:colOff>
      <xdr:row>0</xdr:row>
      <xdr:rowOff>99646</xdr:rowOff>
    </xdr:from>
    <xdr:to>
      <xdr:col>5</xdr:col>
      <xdr:colOff>123092</xdr:colOff>
      <xdr:row>1</xdr:row>
      <xdr:rowOff>164122</xdr:rowOff>
    </xdr:to>
    <xdr:sp macro="" textlink="">
      <xdr:nvSpPr>
        <xdr:cNvPr id="23" name="TextBox 22">
          <a:extLst>
            <a:ext uri="{FF2B5EF4-FFF2-40B4-BE49-F238E27FC236}">
              <a16:creationId xmlns:a16="http://schemas.microsoft.com/office/drawing/2014/main" id="{2B438CCF-86FE-BC0F-884D-BABFA7DD4EE4}"/>
            </a:ext>
          </a:extLst>
        </xdr:cNvPr>
        <xdr:cNvSpPr txBox="1"/>
      </xdr:nvSpPr>
      <xdr:spPr>
        <a:xfrm>
          <a:off x="674075" y="99646"/>
          <a:ext cx="2497017" cy="2461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t>Hospital Emergency Room Dashboard</a:t>
          </a:r>
        </a:p>
      </xdr:txBody>
    </xdr:sp>
    <xdr:clientData/>
  </xdr:twoCellAnchor>
  <xdr:twoCellAnchor editAs="oneCell">
    <xdr:from>
      <xdr:col>0</xdr:col>
      <xdr:colOff>0</xdr:colOff>
      <xdr:row>0</xdr:row>
      <xdr:rowOff>99646</xdr:rowOff>
    </xdr:from>
    <xdr:to>
      <xdr:col>1</xdr:col>
      <xdr:colOff>281354</xdr:colOff>
      <xdr:row>2</xdr:row>
      <xdr:rowOff>175847</xdr:rowOff>
    </xdr:to>
    <xdr:pic>
      <xdr:nvPicPr>
        <xdr:cNvPr id="25" name="Picture 24">
          <a:extLst>
            <a:ext uri="{FF2B5EF4-FFF2-40B4-BE49-F238E27FC236}">
              <a16:creationId xmlns:a16="http://schemas.microsoft.com/office/drawing/2014/main" id="{3A4B462C-A0F9-B653-C830-76CDF4D6DB9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7292" r="-13232" b="-1"/>
        <a:stretch>
          <a:fillRect/>
        </a:stretch>
      </xdr:blipFill>
      <xdr:spPr>
        <a:xfrm>
          <a:off x="0" y="99646"/>
          <a:ext cx="890954" cy="439616"/>
        </a:xfrm>
        <a:prstGeom prst="rect">
          <a:avLst/>
        </a:prstGeom>
      </xdr:spPr>
    </xdr:pic>
    <xdr:clientData/>
  </xdr:twoCellAnchor>
  <xdr:twoCellAnchor editAs="absolute">
    <xdr:from>
      <xdr:col>1</xdr:col>
      <xdr:colOff>363415</xdr:colOff>
      <xdr:row>1</xdr:row>
      <xdr:rowOff>111369</xdr:rowOff>
    </xdr:from>
    <xdr:to>
      <xdr:col>4</xdr:col>
      <xdr:colOff>263770</xdr:colOff>
      <xdr:row>2</xdr:row>
      <xdr:rowOff>175846</xdr:rowOff>
    </xdr:to>
    <xdr:sp macro="" textlink="">
      <xdr:nvSpPr>
        <xdr:cNvPr id="28" name="TextBox 27">
          <a:extLst>
            <a:ext uri="{FF2B5EF4-FFF2-40B4-BE49-F238E27FC236}">
              <a16:creationId xmlns:a16="http://schemas.microsoft.com/office/drawing/2014/main" id="{46BDDB70-E8BA-219C-A149-37AA77EE5058}"/>
            </a:ext>
          </a:extLst>
        </xdr:cNvPr>
        <xdr:cNvSpPr txBox="1"/>
      </xdr:nvSpPr>
      <xdr:spPr>
        <a:xfrm>
          <a:off x="973015" y="293077"/>
          <a:ext cx="1729155" cy="2461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b="1"/>
            <a:t>Monthly</a:t>
          </a:r>
          <a:r>
            <a:rPr lang="en-IN" sz="900" b="1" baseline="0"/>
            <a:t> Report</a:t>
          </a:r>
          <a:endParaRPr lang="en-IN" sz="900" b="1"/>
        </a:p>
      </xdr:txBody>
    </xdr:sp>
    <xdr:clientData/>
  </xdr:twoCellAnchor>
  <xdr:twoCellAnchor editAs="absolute">
    <xdr:from>
      <xdr:col>1</xdr:col>
      <xdr:colOff>226837</xdr:colOff>
      <xdr:row>4</xdr:row>
      <xdr:rowOff>91716</xdr:rowOff>
    </xdr:from>
    <xdr:to>
      <xdr:col>3</xdr:col>
      <xdr:colOff>133054</xdr:colOff>
      <xdr:row>5</xdr:row>
      <xdr:rowOff>156193</xdr:rowOff>
    </xdr:to>
    <xdr:sp macro="" textlink="">
      <xdr:nvSpPr>
        <xdr:cNvPr id="29" name="TextBox 28">
          <a:extLst>
            <a:ext uri="{FF2B5EF4-FFF2-40B4-BE49-F238E27FC236}">
              <a16:creationId xmlns:a16="http://schemas.microsoft.com/office/drawing/2014/main" id="{82DA9E13-C0B6-E0E7-DF54-C066648BB94A}"/>
            </a:ext>
          </a:extLst>
        </xdr:cNvPr>
        <xdr:cNvSpPr txBox="1"/>
      </xdr:nvSpPr>
      <xdr:spPr>
        <a:xfrm>
          <a:off x="834445" y="828814"/>
          <a:ext cx="1121433" cy="248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50" b="1">
              <a:latin typeface="+mn-lt"/>
              <a:cs typeface="Aparajita" panose="02020603050405020304" pitchFamily="18" charset="0"/>
            </a:rPr>
            <a:t>No.of</a:t>
          </a:r>
          <a:r>
            <a:rPr lang="en-IN" sz="850" b="1" baseline="0">
              <a:latin typeface="+mn-lt"/>
              <a:cs typeface="Aparajita" panose="02020603050405020304" pitchFamily="18" charset="0"/>
            </a:rPr>
            <a:t> Patients</a:t>
          </a:r>
          <a:endParaRPr lang="en-IN" sz="850" b="1">
            <a:latin typeface="+mn-lt"/>
            <a:cs typeface="Aparajita" panose="02020603050405020304" pitchFamily="18" charset="0"/>
          </a:endParaRPr>
        </a:p>
      </xdr:txBody>
    </xdr:sp>
    <xdr:clientData/>
  </xdr:twoCellAnchor>
  <xdr:twoCellAnchor editAs="absolute">
    <xdr:from>
      <xdr:col>1</xdr:col>
      <xdr:colOff>533397</xdr:colOff>
      <xdr:row>3</xdr:row>
      <xdr:rowOff>52753</xdr:rowOff>
    </xdr:from>
    <xdr:to>
      <xdr:col>2</xdr:col>
      <xdr:colOff>433752</xdr:colOff>
      <xdr:row>4</xdr:row>
      <xdr:rowOff>29306</xdr:rowOff>
    </xdr:to>
    <xdr:sp macro="" textlink="'Pivot Report'!A5">
      <xdr:nvSpPr>
        <xdr:cNvPr id="30" name="TextBox 29">
          <a:extLst>
            <a:ext uri="{FF2B5EF4-FFF2-40B4-BE49-F238E27FC236}">
              <a16:creationId xmlns:a16="http://schemas.microsoft.com/office/drawing/2014/main" id="{50AFBFC4-870F-9BDA-799D-C027779C196E}"/>
            </a:ext>
          </a:extLst>
        </xdr:cNvPr>
        <xdr:cNvSpPr txBox="1"/>
      </xdr:nvSpPr>
      <xdr:spPr>
        <a:xfrm>
          <a:off x="1142997" y="597876"/>
          <a:ext cx="509955" cy="1582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4B1AE1B2-8E2C-4B9D-8B12-F0A9C0C160A6}" type="TxLink">
            <a:rPr lang="en-US" sz="1100" b="0" i="0" u="none" strike="noStrike">
              <a:solidFill>
                <a:srgbClr val="000000"/>
              </a:solidFill>
              <a:latin typeface="Calibri"/>
              <a:ea typeface="Calibri"/>
              <a:cs typeface="Calibri"/>
            </a:rPr>
            <a:pPr algn="ctr"/>
            <a:t>513</a:t>
          </a:fld>
          <a:endParaRPr lang="en-IN" sz="900" b="1"/>
        </a:p>
      </xdr:txBody>
    </xdr:sp>
    <xdr:clientData/>
  </xdr:twoCellAnchor>
  <xdr:twoCellAnchor editAs="absolute">
    <xdr:from>
      <xdr:col>5</xdr:col>
      <xdr:colOff>82062</xdr:colOff>
      <xdr:row>4</xdr:row>
      <xdr:rowOff>96697</xdr:rowOff>
    </xdr:from>
    <xdr:to>
      <xdr:col>7</xdr:col>
      <xdr:colOff>99646</xdr:colOff>
      <xdr:row>5</xdr:row>
      <xdr:rowOff>143589</xdr:rowOff>
    </xdr:to>
    <xdr:sp macro="" textlink="">
      <xdr:nvSpPr>
        <xdr:cNvPr id="31" name="TextBox 30">
          <a:extLst>
            <a:ext uri="{FF2B5EF4-FFF2-40B4-BE49-F238E27FC236}">
              <a16:creationId xmlns:a16="http://schemas.microsoft.com/office/drawing/2014/main" id="{3E25CE12-B14C-CB9E-EA90-6989BA3A31C1}"/>
            </a:ext>
          </a:extLst>
        </xdr:cNvPr>
        <xdr:cNvSpPr txBox="1"/>
      </xdr:nvSpPr>
      <xdr:spPr>
        <a:xfrm>
          <a:off x="3120101" y="833795"/>
          <a:ext cx="1232800" cy="231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50" b="1"/>
            <a:t>Patient</a:t>
          </a:r>
          <a:r>
            <a:rPr lang="en-IN" sz="850" b="1" baseline="0"/>
            <a:t> </a:t>
          </a:r>
          <a:r>
            <a:rPr lang="en-IN" sz="850" b="1"/>
            <a:t>Satisfaction</a:t>
          </a:r>
          <a:r>
            <a:rPr lang="en-IN" sz="850" b="1" baseline="0"/>
            <a:t> Score</a:t>
          </a:r>
          <a:endParaRPr lang="en-IN" sz="850" b="1"/>
        </a:p>
      </xdr:txBody>
    </xdr:sp>
    <xdr:clientData/>
  </xdr:twoCellAnchor>
  <xdr:twoCellAnchor editAs="absolute">
    <xdr:from>
      <xdr:col>3</xdr:col>
      <xdr:colOff>159715</xdr:colOff>
      <xdr:row>4</xdr:row>
      <xdr:rowOff>85853</xdr:rowOff>
    </xdr:from>
    <xdr:to>
      <xdr:col>5</xdr:col>
      <xdr:colOff>83517</xdr:colOff>
      <xdr:row>5</xdr:row>
      <xdr:rowOff>150330</xdr:rowOff>
    </xdr:to>
    <xdr:sp macro="" textlink="">
      <xdr:nvSpPr>
        <xdr:cNvPr id="32" name="TextBox 31">
          <a:extLst>
            <a:ext uri="{FF2B5EF4-FFF2-40B4-BE49-F238E27FC236}">
              <a16:creationId xmlns:a16="http://schemas.microsoft.com/office/drawing/2014/main" id="{5048942A-A741-6E2B-4008-6E96BDB7A702}"/>
            </a:ext>
          </a:extLst>
        </xdr:cNvPr>
        <xdr:cNvSpPr txBox="1"/>
      </xdr:nvSpPr>
      <xdr:spPr>
        <a:xfrm>
          <a:off x="1982539" y="822951"/>
          <a:ext cx="1139017" cy="248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50" b="1"/>
            <a:t>Average</a:t>
          </a:r>
          <a:r>
            <a:rPr lang="en-IN" sz="850" b="1" baseline="0"/>
            <a:t> Wait Time</a:t>
          </a:r>
          <a:endParaRPr lang="en-IN" sz="850" b="1"/>
        </a:p>
      </xdr:txBody>
    </xdr:sp>
    <xdr:clientData/>
  </xdr:twoCellAnchor>
  <xdr:twoCellAnchor editAs="absolute">
    <xdr:from>
      <xdr:col>5</xdr:col>
      <xdr:colOff>468920</xdr:colOff>
      <xdr:row>3</xdr:row>
      <xdr:rowOff>52753</xdr:rowOff>
    </xdr:from>
    <xdr:to>
      <xdr:col>6</xdr:col>
      <xdr:colOff>369275</xdr:colOff>
      <xdr:row>4</xdr:row>
      <xdr:rowOff>29306</xdr:rowOff>
    </xdr:to>
    <xdr:sp macro="" textlink="'Pivot Report'!A12">
      <xdr:nvSpPr>
        <xdr:cNvPr id="33" name="TextBox 32">
          <a:extLst>
            <a:ext uri="{FF2B5EF4-FFF2-40B4-BE49-F238E27FC236}">
              <a16:creationId xmlns:a16="http://schemas.microsoft.com/office/drawing/2014/main" id="{01253F86-5FE2-3ED0-8334-8D435A4FA37E}"/>
            </a:ext>
          </a:extLst>
        </xdr:cNvPr>
        <xdr:cNvSpPr txBox="1"/>
      </xdr:nvSpPr>
      <xdr:spPr>
        <a:xfrm>
          <a:off x="3516920" y="597876"/>
          <a:ext cx="509955" cy="1582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A619B201-76CB-43DC-85C1-8875CBDA48B8}" type="TxLink">
            <a:rPr lang="en-US" sz="1100" b="0" i="0" u="none" strike="noStrike">
              <a:solidFill>
                <a:srgbClr val="000000"/>
              </a:solidFill>
              <a:latin typeface="Calibri"/>
              <a:ea typeface="Calibri"/>
              <a:cs typeface="Calibri"/>
            </a:rPr>
            <a:pPr algn="ctr"/>
            <a:t>4.96</a:t>
          </a:fld>
          <a:endParaRPr lang="en-IN" sz="900" b="1"/>
        </a:p>
      </xdr:txBody>
    </xdr:sp>
    <xdr:clientData/>
  </xdr:twoCellAnchor>
  <xdr:twoCellAnchor editAs="absolute">
    <xdr:from>
      <xdr:col>3</xdr:col>
      <xdr:colOff>474782</xdr:colOff>
      <xdr:row>3</xdr:row>
      <xdr:rowOff>41030</xdr:rowOff>
    </xdr:from>
    <xdr:to>
      <xdr:col>4</xdr:col>
      <xdr:colOff>375137</xdr:colOff>
      <xdr:row>4</xdr:row>
      <xdr:rowOff>17583</xdr:rowOff>
    </xdr:to>
    <xdr:sp macro="" textlink="'Pivot Report'!A9">
      <xdr:nvSpPr>
        <xdr:cNvPr id="34" name="TextBox 33">
          <a:extLst>
            <a:ext uri="{FF2B5EF4-FFF2-40B4-BE49-F238E27FC236}">
              <a16:creationId xmlns:a16="http://schemas.microsoft.com/office/drawing/2014/main" id="{36AE927D-30B9-3156-3B32-C720A126A6EF}"/>
            </a:ext>
          </a:extLst>
        </xdr:cNvPr>
        <xdr:cNvSpPr txBox="1"/>
      </xdr:nvSpPr>
      <xdr:spPr>
        <a:xfrm>
          <a:off x="2303582" y="586153"/>
          <a:ext cx="509955" cy="1582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72126D28-81E2-41B1-AEFA-CA38C77068A5}" type="TxLink">
            <a:rPr lang="en-US" sz="1100" b="0" i="0" u="none" strike="noStrike">
              <a:solidFill>
                <a:srgbClr val="000000"/>
              </a:solidFill>
              <a:latin typeface="Calibri"/>
              <a:ea typeface="Calibri"/>
              <a:cs typeface="Calibri"/>
            </a:rPr>
            <a:pPr algn="ctr"/>
            <a:t>36.32</a:t>
          </a:fld>
          <a:endParaRPr lang="en-IN" sz="900" b="1"/>
        </a:p>
      </xdr:txBody>
    </xdr:sp>
    <xdr:clientData/>
  </xdr:twoCellAnchor>
  <xdr:twoCellAnchor editAs="oneCell">
    <xdr:from>
      <xdr:col>2</xdr:col>
      <xdr:colOff>474785</xdr:colOff>
      <xdr:row>3</xdr:row>
      <xdr:rowOff>11723</xdr:rowOff>
    </xdr:from>
    <xdr:to>
      <xdr:col>3</xdr:col>
      <xdr:colOff>64477</xdr:colOff>
      <xdr:row>4</xdr:row>
      <xdr:rowOff>29307</xdr:rowOff>
    </xdr:to>
    <xdr:pic>
      <xdr:nvPicPr>
        <xdr:cNvPr id="36" name="Graphic 35" descr="Male profile">
          <a:extLst>
            <a:ext uri="{FF2B5EF4-FFF2-40B4-BE49-F238E27FC236}">
              <a16:creationId xmlns:a16="http://schemas.microsoft.com/office/drawing/2014/main" id="{CC25CBDE-401A-F2EF-4FE9-837B613B652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93985" y="556846"/>
          <a:ext cx="199292" cy="199292"/>
        </a:xfrm>
        <a:prstGeom prst="rect">
          <a:avLst/>
        </a:prstGeom>
      </xdr:spPr>
    </xdr:pic>
    <xdr:clientData/>
  </xdr:twoCellAnchor>
  <xdr:twoCellAnchor editAs="oneCell">
    <xdr:from>
      <xdr:col>4</xdr:col>
      <xdr:colOff>468923</xdr:colOff>
      <xdr:row>3</xdr:row>
      <xdr:rowOff>17586</xdr:rowOff>
    </xdr:from>
    <xdr:to>
      <xdr:col>5</xdr:col>
      <xdr:colOff>41031</xdr:colOff>
      <xdr:row>4</xdr:row>
      <xdr:rowOff>17586</xdr:rowOff>
    </xdr:to>
    <xdr:pic>
      <xdr:nvPicPr>
        <xdr:cNvPr id="38" name="Graphic 37" descr="Hourglass">
          <a:extLst>
            <a:ext uri="{FF2B5EF4-FFF2-40B4-BE49-F238E27FC236}">
              <a16:creationId xmlns:a16="http://schemas.microsoft.com/office/drawing/2014/main" id="{A8D62E20-E295-1C9F-679C-B9F156AC217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907323" y="562709"/>
          <a:ext cx="181708" cy="181708"/>
        </a:xfrm>
        <a:prstGeom prst="rect">
          <a:avLst/>
        </a:prstGeom>
      </xdr:spPr>
    </xdr:pic>
    <xdr:clientData/>
  </xdr:twoCellAnchor>
  <xdr:twoCellAnchor editAs="oneCell">
    <xdr:from>
      <xdr:col>6</xdr:col>
      <xdr:colOff>457199</xdr:colOff>
      <xdr:row>3</xdr:row>
      <xdr:rowOff>1</xdr:rowOff>
    </xdr:from>
    <xdr:to>
      <xdr:col>7</xdr:col>
      <xdr:colOff>46890</xdr:colOff>
      <xdr:row>4</xdr:row>
      <xdr:rowOff>17584</xdr:rowOff>
    </xdr:to>
    <xdr:pic>
      <xdr:nvPicPr>
        <xdr:cNvPr id="40" name="Graphic 39" descr="Customer review RTL">
          <a:extLst>
            <a:ext uri="{FF2B5EF4-FFF2-40B4-BE49-F238E27FC236}">
              <a16:creationId xmlns:a16="http://schemas.microsoft.com/office/drawing/2014/main" id="{D0C5AA4F-0F30-EB0A-E40B-AC20DB9AC1B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flipH="1">
          <a:off x="4114799" y="545124"/>
          <a:ext cx="199291" cy="199291"/>
        </a:xfrm>
        <a:prstGeom prst="rect">
          <a:avLst/>
        </a:prstGeom>
      </xdr:spPr>
    </xdr:pic>
    <xdr:clientData/>
  </xdr:twoCellAnchor>
  <xdr:twoCellAnchor editAs="oneCell">
    <xdr:from>
      <xdr:col>0</xdr:col>
      <xdr:colOff>93783</xdr:colOff>
      <xdr:row>3</xdr:row>
      <xdr:rowOff>0</xdr:rowOff>
    </xdr:from>
    <xdr:to>
      <xdr:col>1</xdr:col>
      <xdr:colOff>96183</xdr:colOff>
      <xdr:row>16</xdr:row>
      <xdr:rowOff>52754</xdr:rowOff>
    </xdr:to>
    <mc:AlternateContent xmlns:mc="http://schemas.openxmlformats.org/markup-compatibility/2006" xmlns:a14="http://schemas.microsoft.com/office/drawing/2010/main">
      <mc:Choice Requires="a14">
        <xdr:graphicFrame macro="">
          <xdr:nvGraphicFramePr>
            <xdr:cNvPr id="41" name="Date (Month)">
              <a:extLst>
                <a:ext uri="{FF2B5EF4-FFF2-40B4-BE49-F238E27FC236}">
                  <a16:creationId xmlns:a16="http://schemas.microsoft.com/office/drawing/2014/main" id="{831183EF-A9DA-4F25-A93D-7532A22368EF}"/>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93783" y="552450"/>
              <a:ext cx="612000" cy="24467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44174</xdr:colOff>
      <xdr:row>4</xdr:row>
      <xdr:rowOff>123089</xdr:rowOff>
    </xdr:from>
    <xdr:to>
      <xdr:col>3</xdr:col>
      <xdr:colOff>216877</xdr:colOff>
      <xdr:row>9</xdr:row>
      <xdr:rowOff>11720</xdr:rowOff>
    </xdr:to>
    <xdr:graphicFrame macro="">
      <xdr:nvGraphicFramePr>
        <xdr:cNvPr id="12" name="Chart 11">
          <a:hlinkClick xmlns:r="http://schemas.openxmlformats.org/officeDocument/2006/relationships" r:id="rId8"/>
          <a:extLst>
            <a:ext uri="{FF2B5EF4-FFF2-40B4-BE49-F238E27FC236}">
              <a16:creationId xmlns:a16="http://schemas.microsoft.com/office/drawing/2014/main" id="{DD155204-3AE3-8BFE-37BD-0202CEFC22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128953</xdr:colOff>
      <xdr:row>5</xdr:row>
      <xdr:rowOff>76200</xdr:rowOff>
    </xdr:from>
    <xdr:to>
      <xdr:col>5</xdr:col>
      <xdr:colOff>46892</xdr:colOff>
      <xdr:row>6</xdr:row>
      <xdr:rowOff>181707</xdr:rowOff>
    </xdr:to>
    <xdr:graphicFrame macro="">
      <xdr:nvGraphicFramePr>
        <xdr:cNvPr id="13" name="Chart 12">
          <a:hlinkClick xmlns:r="http://schemas.openxmlformats.org/officeDocument/2006/relationships" r:id="rId10"/>
          <a:extLst>
            <a:ext uri="{FF2B5EF4-FFF2-40B4-BE49-F238E27FC236}">
              <a16:creationId xmlns:a16="http://schemas.microsoft.com/office/drawing/2014/main" id="{37B08655-DB05-4D39-BF95-E7B8A9274D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82401</xdr:colOff>
      <xdr:row>5</xdr:row>
      <xdr:rowOff>23649</xdr:rowOff>
    </xdr:from>
    <xdr:to>
      <xdr:col>7</xdr:col>
      <xdr:colOff>82826</xdr:colOff>
      <xdr:row>6</xdr:row>
      <xdr:rowOff>181909</xdr:rowOff>
    </xdr:to>
    <xdr:graphicFrame macro="">
      <xdr:nvGraphicFramePr>
        <xdr:cNvPr id="15" name="Chart 14">
          <a:hlinkClick xmlns:r="http://schemas.openxmlformats.org/officeDocument/2006/relationships" r:id="rId12"/>
          <a:extLst>
            <a:ext uri="{FF2B5EF4-FFF2-40B4-BE49-F238E27FC236}">
              <a16:creationId xmlns:a16="http://schemas.microsoft.com/office/drawing/2014/main" id="{F5180D24-8C39-40E7-840B-22180918DF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177799</xdr:colOff>
          <xdr:row>7</xdr:row>
          <xdr:rowOff>50799</xdr:rowOff>
        </xdr:from>
        <xdr:to>
          <xdr:col>7</xdr:col>
          <xdr:colOff>38100</xdr:colOff>
          <xdr:row>9</xdr:row>
          <xdr:rowOff>46402</xdr:rowOff>
        </xdr:to>
        <xdr:pic>
          <xdr:nvPicPr>
            <xdr:cNvPr id="37" name="Picture 36">
              <a:extLst>
                <a:ext uri="{FF2B5EF4-FFF2-40B4-BE49-F238E27FC236}">
                  <a16:creationId xmlns:a16="http://schemas.microsoft.com/office/drawing/2014/main" id="{F47ECE20-98E0-C637-7059-E49B04981939}"/>
                </a:ext>
              </a:extLst>
            </xdr:cNvPr>
            <xdr:cNvPicPr>
              <a:picLocks noChangeAspect="1" noChangeArrowheads="1"/>
              <a:extLst>
                <a:ext uri="{84589F7E-364E-4C9E-8A38-B11213B215E9}">
                  <a14:cameraTool cellRange="'Pivot Report'!$A$49:$E$51" spid="_x0000_s2092"/>
                </a:ext>
              </a:extLst>
            </xdr:cNvPicPr>
          </xdr:nvPicPr>
          <xdr:blipFill>
            <a:blip xmlns:r="http://schemas.openxmlformats.org/officeDocument/2006/relationships" r:embed="rId14"/>
            <a:srcRect/>
            <a:stretch>
              <a:fillRect/>
            </a:stretch>
          </xdr:blipFill>
          <xdr:spPr bwMode="auto">
            <a:xfrm>
              <a:off x="787399" y="1339849"/>
              <a:ext cx="3517901" cy="36390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597389</xdr:colOff>
      <xdr:row>8</xdr:row>
      <xdr:rowOff>177800</xdr:rowOff>
    </xdr:from>
    <xdr:to>
      <xdr:col>7</xdr:col>
      <xdr:colOff>34682</xdr:colOff>
      <xdr:row>14</xdr:row>
      <xdr:rowOff>171938</xdr:rowOff>
    </xdr:to>
    <xdr:graphicFrame macro="">
      <xdr:nvGraphicFramePr>
        <xdr:cNvPr id="8" name="Chart 7">
          <a:extLst>
            <a:ext uri="{FF2B5EF4-FFF2-40B4-BE49-F238E27FC236}">
              <a16:creationId xmlns:a16="http://schemas.microsoft.com/office/drawing/2014/main" id="{4A14A05C-4CE1-4044-BB8E-02B0AA3312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143608</xdr:colOff>
      <xdr:row>0</xdr:row>
      <xdr:rowOff>70773</xdr:rowOff>
    </xdr:from>
    <xdr:to>
      <xdr:col>9</xdr:col>
      <xdr:colOff>120162</xdr:colOff>
      <xdr:row>5</xdr:row>
      <xdr:rowOff>180731</xdr:rowOff>
    </xdr:to>
    <xdr:graphicFrame macro="">
      <xdr:nvGraphicFramePr>
        <xdr:cNvPr id="9" name="Chart 8">
          <a:extLst>
            <a:ext uri="{FF2B5EF4-FFF2-40B4-BE49-F238E27FC236}">
              <a16:creationId xmlns:a16="http://schemas.microsoft.com/office/drawing/2014/main" id="{15EDD36F-1D61-4981-B424-D519FC3521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187569</xdr:colOff>
      <xdr:row>0</xdr:row>
      <xdr:rowOff>76201</xdr:rowOff>
    </xdr:from>
    <xdr:to>
      <xdr:col>11</xdr:col>
      <xdr:colOff>249019</xdr:colOff>
      <xdr:row>5</xdr:row>
      <xdr:rowOff>94627</xdr:rowOff>
    </xdr:to>
    <xdr:graphicFrame macro="">
      <xdr:nvGraphicFramePr>
        <xdr:cNvPr id="14" name="Chart 13">
          <a:extLst>
            <a:ext uri="{FF2B5EF4-FFF2-40B4-BE49-F238E27FC236}">
              <a16:creationId xmlns:a16="http://schemas.microsoft.com/office/drawing/2014/main" id="{0108BECC-061F-4D61-92BE-4168F04439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235927</xdr:colOff>
      <xdr:row>6</xdr:row>
      <xdr:rowOff>53242</xdr:rowOff>
    </xdr:from>
    <xdr:to>
      <xdr:col>11</xdr:col>
      <xdr:colOff>323850</xdr:colOff>
      <xdr:row>15</xdr:row>
      <xdr:rowOff>29796</xdr:rowOff>
    </xdr:to>
    <xdr:graphicFrame macro="">
      <xdr:nvGraphicFramePr>
        <xdr:cNvPr id="19" name="Chart 18">
          <a:extLst>
            <a:ext uri="{FF2B5EF4-FFF2-40B4-BE49-F238E27FC236}">
              <a16:creationId xmlns:a16="http://schemas.microsoft.com/office/drawing/2014/main" id="{94D49AE9-FC97-45D8-AD3E-E5E9795CCD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5</xdr:col>
      <xdr:colOff>268148</xdr:colOff>
      <xdr:row>0</xdr:row>
      <xdr:rowOff>139450</xdr:rowOff>
    </xdr:from>
    <xdr:to>
      <xdr:col>7</xdr:col>
      <xdr:colOff>44175</xdr:colOff>
      <xdr:row>2</xdr:row>
      <xdr:rowOff>110435</xdr:rowOff>
    </xdr:to>
    <mc:AlternateContent xmlns:mc="http://schemas.openxmlformats.org/markup-compatibility/2006" xmlns:a14="http://schemas.microsoft.com/office/drawing/2010/main">
      <mc:Choice Requires="a14">
        <xdr:graphicFrame macro="">
          <xdr:nvGraphicFramePr>
            <xdr:cNvPr id="20" name="Date (Year)">
              <a:extLst>
                <a:ext uri="{FF2B5EF4-FFF2-40B4-BE49-F238E27FC236}">
                  <a16:creationId xmlns:a16="http://schemas.microsoft.com/office/drawing/2014/main" id="{FD765E97-EA7A-4A11-BBC5-F95A1E095FBD}"/>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305105" y="139450"/>
              <a:ext cx="990809" cy="33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552824</xdr:colOff>
      <xdr:row>15</xdr:row>
      <xdr:rowOff>49805</xdr:rowOff>
    </xdr:from>
    <xdr:to>
      <xdr:col>11</xdr:col>
      <xdr:colOff>114549</xdr:colOff>
      <xdr:row>16</xdr:row>
      <xdr:rowOff>79687</xdr:rowOff>
    </xdr:to>
    <xdr:sp macro="" textlink="">
      <xdr:nvSpPr>
        <xdr:cNvPr id="22" name="TextBox 21">
          <a:extLst>
            <a:ext uri="{FF2B5EF4-FFF2-40B4-BE49-F238E27FC236}">
              <a16:creationId xmlns:a16="http://schemas.microsoft.com/office/drawing/2014/main" id="{3004AF0D-A57F-4E25-5B9D-D5445E7F9B8E}"/>
            </a:ext>
          </a:extLst>
        </xdr:cNvPr>
        <xdr:cNvSpPr txBox="1"/>
      </xdr:nvSpPr>
      <xdr:spPr>
        <a:xfrm>
          <a:off x="4806079" y="2813923"/>
          <a:ext cx="1992156" cy="2141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50" b="1" i="0"/>
            <a:t>No.of</a:t>
          </a:r>
          <a:r>
            <a:rPr lang="en-IN" sz="750" b="1" i="0" baseline="0"/>
            <a:t> patient by Department Referral</a:t>
          </a:r>
          <a:endParaRPr lang="en-IN" sz="750" b="1" i="0"/>
        </a:p>
        <a:p>
          <a:endParaRPr lang="en-IN" sz="750" b="1" i="0"/>
        </a:p>
      </xdr:txBody>
    </xdr:sp>
    <xdr:clientData/>
  </xdr:twoCellAnchor>
  <xdr:twoCellAnchor>
    <xdr:from>
      <xdr:col>7</xdr:col>
      <xdr:colOff>74705</xdr:colOff>
      <xdr:row>5</xdr:row>
      <xdr:rowOff>69725</xdr:rowOff>
    </xdr:from>
    <xdr:to>
      <xdr:col>9</xdr:col>
      <xdr:colOff>268941</xdr:colOff>
      <xdr:row>6</xdr:row>
      <xdr:rowOff>59765</xdr:rowOff>
    </xdr:to>
    <xdr:sp macro="" textlink="">
      <xdr:nvSpPr>
        <xdr:cNvPr id="24" name="TextBox 23">
          <a:extLst>
            <a:ext uri="{FF2B5EF4-FFF2-40B4-BE49-F238E27FC236}">
              <a16:creationId xmlns:a16="http://schemas.microsoft.com/office/drawing/2014/main" id="{3D811273-1E46-0C20-8383-6FAFA8735936}"/>
            </a:ext>
          </a:extLst>
        </xdr:cNvPr>
        <xdr:cNvSpPr txBox="1"/>
      </xdr:nvSpPr>
      <xdr:spPr>
        <a:xfrm>
          <a:off x="4327960" y="991098"/>
          <a:ext cx="1409452" cy="174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50" b="1"/>
            <a:t>Patients attended within Time</a:t>
          </a:r>
        </a:p>
      </xdr:txBody>
    </xdr:sp>
    <xdr:clientData/>
  </xdr:twoCellAnchor>
  <xdr:twoCellAnchor>
    <xdr:from>
      <xdr:col>9</xdr:col>
      <xdr:colOff>273921</xdr:colOff>
      <xdr:row>5</xdr:row>
      <xdr:rowOff>74705</xdr:rowOff>
    </xdr:from>
    <xdr:to>
      <xdr:col>12</xdr:col>
      <xdr:colOff>84665</xdr:colOff>
      <xdr:row>6</xdr:row>
      <xdr:rowOff>49804</xdr:rowOff>
    </xdr:to>
    <xdr:sp macro="" textlink="">
      <xdr:nvSpPr>
        <xdr:cNvPr id="26" name="TextBox 25">
          <a:extLst>
            <a:ext uri="{FF2B5EF4-FFF2-40B4-BE49-F238E27FC236}">
              <a16:creationId xmlns:a16="http://schemas.microsoft.com/office/drawing/2014/main" id="{3B31C27C-E5EF-319C-66B6-7DD33BAA6C44}"/>
            </a:ext>
          </a:extLst>
        </xdr:cNvPr>
        <xdr:cNvSpPr txBox="1"/>
      </xdr:nvSpPr>
      <xdr:spPr>
        <a:xfrm>
          <a:off x="5742392" y="996078"/>
          <a:ext cx="1633567" cy="159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50" b="1"/>
            <a:t>No.of</a:t>
          </a:r>
          <a:r>
            <a:rPr lang="en-IN" sz="750" b="1" baseline="0"/>
            <a:t> Patients by Gender</a:t>
          </a:r>
          <a:endParaRPr lang="en-IN" sz="750" b="1"/>
        </a:p>
      </xdr:txBody>
    </xdr:sp>
    <xdr:clientData/>
  </xdr:twoCellAnchor>
  <xdr:twoCellAnchor>
    <xdr:from>
      <xdr:col>3</xdr:col>
      <xdr:colOff>59764</xdr:colOff>
      <xdr:row>15</xdr:row>
      <xdr:rowOff>29883</xdr:rowOff>
    </xdr:from>
    <xdr:to>
      <xdr:col>6</xdr:col>
      <xdr:colOff>39845</xdr:colOff>
      <xdr:row>16</xdr:row>
      <xdr:rowOff>24903</xdr:rowOff>
    </xdr:to>
    <xdr:sp macro="" textlink="">
      <xdr:nvSpPr>
        <xdr:cNvPr id="27" name="TextBox 26">
          <a:extLst>
            <a:ext uri="{FF2B5EF4-FFF2-40B4-BE49-F238E27FC236}">
              <a16:creationId xmlns:a16="http://schemas.microsoft.com/office/drawing/2014/main" id="{DB814EC3-BEE1-A3CD-29BF-1D20345AE984}"/>
            </a:ext>
          </a:extLst>
        </xdr:cNvPr>
        <xdr:cNvSpPr txBox="1"/>
      </xdr:nvSpPr>
      <xdr:spPr>
        <a:xfrm>
          <a:off x="1882588" y="2794001"/>
          <a:ext cx="1802904" cy="179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50" b="1"/>
            <a:t>No.of patient by Age Group</a:t>
          </a:r>
        </a:p>
      </xdr:txBody>
    </xdr:sp>
    <xdr:clientData/>
  </xdr:twoCellAnchor>
  <xdr:twoCellAnchor>
    <xdr:from>
      <xdr:col>5</xdr:col>
      <xdr:colOff>448236</xdr:colOff>
      <xdr:row>0</xdr:row>
      <xdr:rowOff>34863</xdr:rowOff>
    </xdr:from>
    <xdr:to>
      <xdr:col>7</xdr:col>
      <xdr:colOff>104588</xdr:colOff>
      <xdr:row>1</xdr:row>
      <xdr:rowOff>39844</xdr:rowOff>
    </xdr:to>
    <xdr:sp macro="" textlink="">
      <xdr:nvSpPr>
        <xdr:cNvPr id="39" name="TextBox 38">
          <a:extLst>
            <a:ext uri="{FF2B5EF4-FFF2-40B4-BE49-F238E27FC236}">
              <a16:creationId xmlns:a16="http://schemas.microsoft.com/office/drawing/2014/main" id="{E6EF38FD-A366-7FE4-D5B3-B8C2CA75B04B}"/>
            </a:ext>
          </a:extLst>
        </xdr:cNvPr>
        <xdr:cNvSpPr txBox="1"/>
      </xdr:nvSpPr>
      <xdr:spPr>
        <a:xfrm>
          <a:off x="3486275" y="34863"/>
          <a:ext cx="871568" cy="189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50" b="1" i="0"/>
            <a:t>Select Year</a:t>
          </a:r>
        </a:p>
        <a:p>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68579</xdr:colOff>
      <xdr:row>1</xdr:row>
      <xdr:rowOff>175261</xdr:rowOff>
    </xdr:from>
    <xdr:to>
      <xdr:col>19</xdr:col>
      <xdr:colOff>233082</xdr:colOff>
      <xdr:row>20</xdr:row>
      <xdr:rowOff>44825</xdr:rowOff>
    </xdr:to>
    <xdr:graphicFrame macro="">
      <xdr:nvGraphicFramePr>
        <xdr:cNvPr id="2" name="Chart 1">
          <a:extLst>
            <a:ext uri="{FF2B5EF4-FFF2-40B4-BE49-F238E27FC236}">
              <a16:creationId xmlns:a16="http://schemas.microsoft.com/office/drawing/2014/main" id="{F82774B4-2BB7-4C7D-9139-9115DE33AA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0.00844</cdr:x>
      <cdr:y>0.02121</cdr:y>
    </cdr:from>
    <cdr:to>
      <cdr:x>0.04615</cdr:x>
      <cdr:y>0.12584</cdr:y>
    </cdr:to>
    <cdr:pic>
      <cdr:nvPicPr>
        <cdr:cNvPr id="2" name="Graphic 4"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5A352FB-870B-CD86-5308-3E56403CFD3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95624" y="86658"/>
          <a:ext cx="427468" cy="427468"/>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20735</xdr:colOff>
      <xdr:row>1</xdr:row>
      <xdr:rowOff>21123</xdr:rowOff>
    </xdr:from>
    <xdr:to>
      <xdr:col>14</xdr:col>
      <xdr:colOff>13899</xdr:colOff>
      <xdr:row>14</xdr:row>
      <xdr:rowOff>11598</xdr:rowOff>
    </xdr:to>
    <xdr:graphicFrame macro="">
      <xdr:nvGraphicFramePr>
        <xdr:cNvPr id="3" name="Chart 2">
          <a:extLst>
            <a:ext uri="{FF2B5EF4-FFF2-40B4-BE49-F238E27FC236}">
              <a16:creationId xmlns:a16="http://schemas.microsoft.com/office/drawing/2014/main" id="{844AC0D4-4C86-4AF4-9361-7DFC6F30DD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0.00594</cdr:x>
      <cdr:y>0.02427</cdr:y>
    </cdr:from>
    <cdr:to>
      <cdr:x>0.0372</cdr:x>
      <cdr:y>0.11238</cdr:y>
    </cdr:to>
    <cdr:pic>
      <cdr:nvPicPr>
        <cdr:cNvPr id="2" name="Graphic 4"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14220B9-0081-2B09-34EB-E05A5A800CA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1" y="57021"/>
          <a:ext cx="267486" cy="206958"/>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44823</xdr:colOff>
      <xdr:row>1</xdr:row>
      <xdr:rowOff>152400</xdr:rowOff>
    </xdr:from>
    <xdr:to>
      <xdr:col>19</xdr:col>
      <xdr:colOff>134470</xdr:colOff>
      <xdr:row>20</xdr:row>
      <xdr:rowOff>143436</xdr:rowOff>
    </xdr:to>
    <xdr:graphicFrame macro="">
      <xdr:nvGraphicFramePr>
        <xdr:cNvPr id="3" name="Chart 2">
          <a:extLst>
            <a:ext uri="{FF2B5EF4-FFF2-40B4-BE49-F238E27FC236}">
              <a16:creationId xmlns:a16="http://schemas.microsoft.com/office/drawing/2014/main" id="{DB7CD63A-88D8-446C-9013-FA992ADFD6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0.00469</cdr:x>
      <cdr:y>0.01596</cdr:y>
    </cdr:from>
    <cdr:to>
      <cdr:x>0.04564</cdr:x>
      <cdr:y>0.12367</cdr:y>
    </cdr:to>
    <cdr:pic>
      <cdr:nvPicPr>
        <cdr:cNvPr id="2" name="Graphic 4"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14220B9-0081-2B09-34EB-E05A5A800CA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443020" cy="342772"/>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6.786320370367" backgroundQuery="1" createdVersion="8" refreshedVersion="8" minRefreshableVersion="3" recordCount="0" supportSubquery="1" supportAdvancedDrill="1" xr:uid="{8A94907B-0286-4A1C-9CED-61802F00A66B}">
  <cacheSource type="external" connectionId="4"/>
  <cacheFields count="4">
    <cacheField name="[Measures].[Distinct Count of Patient Id]" caption="Distinct Count of Patient Id" numFmtId="0" hierarchy="24" level="32767"/>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6.786320833337" backgroundQuery="1" createdVersion="8" refreshedVersion="8" minRefreshableVersion="3" recordCount="0" supportSubquery="1" supportAdvancedDrill="1" xr:uid="{AFD7534C-8C99-424E-B8FD-E7BAEB56DB40}">
  <cacheSource type="external" connectionId="4"/>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6.786320949075" backgroundQuery="1" createdVersion="8" refreshedVersion="8" minRefreshableVersion="3" recordCount="0" supportSubquery="1" supportAdvancedDrill="1" xr:uid="{4BAEA3F0-FE51-41FF-913A-F3D09A6C91BE}">
  <cacheSource type="external" connectionId="4"/>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6.786321296298" backgroundQuery="1" createdVersion="8" refreshedVersion="8" minRefreshableVersion="3" recordCount="0" supportSubquery="1" supportAdvancedDrill="1" xr:uid="{6B96424F-6781-4FB8-BC3A-6BB716F4C5C5}">
  <cacheSource type="external" connectionId="4"/>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6.786321874999" backgroundQuery="1" createdVersion="8" refreshedVersion="8" minRefreshableVersion="3" recordCount="0" supportSubquery="1" supportAdvancedDrill="1" xr:uid="{461B8E9E-87E7-444D-AC90-EE263D34B328}">
  <cacheSource type="external" connectionId="4"/>
  <cacheFields count="4">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6.786322453707" backgroundQuery="1" createdVersion="8" refreshedVersion="8" minRefreshableVersion="3" recordCount="0" supportSubquery="1" supportAdvancedDrill="1" xr:uid="{04643159-330D-4204-9DAD-7B0323595D04}">
  <cacheSource type="external" connectionId="4"/>
  <cacheFields count="4">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6.786323032407" backgroundQuery="1" createdVersion="8" refreshedVersion="8" minRefreshableVersion="3" recordCount="0" supportSubquery="1" supportAdvancedDrill="1" xr:uid="{E668167F-F299-4487-8EC8-0958491ABE37}">
  <cacheSource type="external" connectionId="4"/>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6.786323495369" backgroundQuery="1" createdVersion="8" refreshedVersion="8" minRefreshableVersion="3" recordCount="0" supportSubquery="1" supportAdvancedDrill="1" xr:uid="{941E9793-D239-4E46-882E-B11477FF9C01}">
  <cacheSource type="external" connectionId="4"/>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6.786324189816" backgroundQuery="1" createdVersion="8" refreshedVersion="8" minRefreshableVersion="3" recordCount="0" supportSubquery="1" supportAdvancedDrill="1" xr:uid="{98AE6E78-F81A-4F32-BC09-59F88F6A05B8}">
  <cacheSource type="external" connectionId="4"/>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29"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6.786324652778" backgroundQuery="1" createdVersion="8" refreshedVersion="8" minRefreshableVersion="3" recordCount="0" supportSubquery="1" supportAdvancedDrill="1" xr:uid="{819B45CD-4D05-4D58-B257-4273CBFE2B22}">
  <cacheSource type="external" connectionId="4"/>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6.786325231478" backgroundQuery="1" createdVersion="8" refreshedVersion="8" minRefreshableVersion="3" recordCount="0" supportSubquery="1" supportAdvancedDrill="1" xr:uid="{80BC84C6-302E-442C-AF03-CDE8777089D0}">
  <cacheSource type="external" connectionId="4"/>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6.786325925925" backgroundQuery="1" createdVersion="8" refreshedVersion="8" minRefreshableVersion="3" recordCount="0" supportSubquery="1" supportAdvancedDrill="1" xr:uid="{E7FDCC33-982E-4130-9B8E-2F73DD06CBB6}">
  <cacheSource type="external" connectionId="4"/>
  <cacheFields count="4">
    <cacheField name="[Calendar_table].[Date (Month)].[Date (Month)]" caption="Date (Month)" numFmtId="0" hierarchy="1" level="1">
      <sharedItems count="1">
        <s v="Jan"/>
      </sharedItems>
    </cacheField>
    <cacheField name="[Calendar_table].[Date].[Date]" caption="Date" numFmtId="0" level="1">
      <sharedItems containsSemiMixedTypes="0" containsNonDate="0" containsDate="1" containsString="0" minDate="2024-01-01T00:00:00" maxDate="2024-02-01T00:00:00" count="31">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45.019266898147" backgroundQuery="1" createdVersion="3" refreshedVersion="8" minRefreshableVersion="3" recordCount="0" supportSubquery="1" supportAdvancedDrill="1" xr:uid="{CBDC8D8A-752E-4A46-9036-BBF2DF805D78}">
  <cacheSource type="external" connectionId="4">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57712260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DBF027-1DAE-43CA-808E-31C829EB96A4}" name="PivotTable3" cacheId="2" applyNumberFormats="0" applyBorderFormats="0" applyFontFormats="0" applyPatternFormats="0" applyAlignmentFormats="0" applyWidthHeightFormats="1" dataCaption="Values" tag="471ccf9a-0e1d-4f76-8f8e-30ba36784c6e" updatedVersion="8" minRefreshableVersion="3" subtotalHiddenItems="1" itemPrintTitles="1" createdVersion="8"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0">
      <pivotArea outline="0" collapsedLevelsAreSubtotals="1" fieldPosition="0"/>
    </format>
  </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DDDDFD-0364-4037-ACEC-01C821EBE2B1}" name="PivotTable8" cacheId="7" applyNumberFormats="0" applyBorderFormats="0" applyFontFormats="0" applyPatternFormats="0" applyAlignmentFormats="0" applyWidthHeightFormats="1" dataCaption="Values" tag="362bc822-c24a-4042-8dfd-d207983166fe" updatedVersion="8" minRefreshableVersion="3" subtotalHiddenItems="1" itemPrintTitles="1" createdVersion="8" indent="0" outline="1" outlineData="1" multipleFieldFilters="0" chartFormat="8">
  <location ref="A59:B6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1">
    <format dxfId="1">
      <pivotArea outline="0" collapsedLevelsAreSubtotals="1" fieldPosition="0"/>
    </format>
  </formats>
  <chartFormats count="3">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1D3142-E94A-4DD4-8FF0-C454FC8FE5F5}" name="PivotTable5" cacheId="0" applyNumberFormats="0" applyBorderFormats="0" applyFontFormats="0" applyPatternFormats="0" applyAlignmentFormats="0" applyWidthHeightFormats="1" dataCaption="Values" tag="52314fec-c7b1-47c0-b516-2b82eadbdc16" updatedVersion="8" minRefreshableVersion="3" subtotalHiddenItems="1" itemPrintTitles="1" createdVersion="8" indent="0" outline="1" outlineData="1" multipleFieldFilters="0" chartFormat="18">
  <location ref="C4:D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004A6E-5527-4BE0-8855-9F6672D603FC}" name="PivotTable2" cacheId="4" applyNumberFormats="0" applyBorderFormats="0" applyFontFormats="0" applyPatternFormats="0" applyAlignmentFormats="0" applyWidthHeightFormats="1" dataCaption="Values" tag="52314fec-c7b1-47c0-b516-2b82eadbdc16" updatedVersion="8" minRefreshableVersion="3" subtotalHiddenItems="1" itemPrintTitles="1" createdVersion="8" indent="0" outline="1" outlineData="1" multipleFieldFilters="0" chartFormat="28">
  <location ref="L4:M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2">
    <format dxfId="3">
      <pivotArea outline="0" collapsedLevelsAreSubtotals="1" fieldPosition="0"/>
    </format>
    <format dxfId="2">
      <pivotArea grandRow="1" outline="0" collapsedLevelsAreSubtotals="1" fieldPosition="0"/>
    </format>
  </formats>
  <chartFormats count="2">
    <chartFormat chart="20" format="2"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710B03-D4B2-45E5-B55F-BAF23637A83F}" name="PivotTable12" cacheId="11" applyNumberFormats="0" applyBorderFormats="0" applyFontFormats="0" applyPatternFormats="0" applyAlignmentFormats="0" applyWidthHeightFormats="1" dataCaption="Values" tag="362bc822-c24a-4042-8dfd-d207983166fe" updatedVersion="8" minRefreshableVersion="3" subtotalHiddenItems="1" itemPrintTitles="1" createdVersion="8" indent="0" outline="1" outlineData="1" multipleFieldFilters="0" chartFormat="17">
  <location ref="A87:A122" firstHeaderRow="1" firstDataRow="1" firstDataCol="1"/>
  <pivotFields count="4">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1">
        <item s="1" x="0"/>
      </items>
    </pivotField>
  </pivotFields>
  <rowFields count="4">
    <field x="3"/>
    <field x="2"/>
    <field x="0"/>
    <field x="1"/>
  </rowFields>
  <rowItems count="35">
    <i>
      <x/>
    </i>
    <i r="1">
      <x/>
    </i>
    <i r="2">
      <x/>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3">
      <x v="29"/>
    </i>
    <i r="3">
      <x v="30"/>
    </i>
    <i t="grand">
      <x/>
    </i>
  </rowItems>
  <formats count="1">
    <format dxfId="4">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0C0715-09BE-4310-9162-5815565261F1}" name="PivotTable1" cacheId="1" applyNumberFormats="0" applyBorderFormats="0" applyFontFormats="0" applyPatternFormats="0" applyAlignmentFormats="0" applyWidthHeightFormats="1" dataCaption="Values" tag="7188feb9-637a-4c05-9bdd-379b10a3bfaa" updatedVersion="8" minRefreshableVersion="3" subtotalHiddenItems="1" itemPrintTitles="1" createdVersion="8"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DB1C7C-C469-46A9-AEC3-C5C459D8F6F2}" name="PivotTable10" cacheId="9" applyNumberFormats="0" applyBorderFormats="0" applyFontFormats="0" applyPatternFormats="0" applyAlignmentFormats="0" applyWidthHeightFormats="1" dataCaption="Values" tag="362bc822-c24a-4042-8dfd-d207983166fe" updatedVersion="8" minRefreshableVersion="3" subtotalHiddenItems="1" itemPrintTitles="1" createdVersion="8" indent="0" outline="1" outlineData="1" multipleFieldFilters="0" chartFormat="17">
  <location ref="B75:C7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5">
      <pivotArea outline="0" collapsedLevelsAreSubtotals="1" fieldPosition="0"/>
    </format>
  </formats>
  <chartFormats count="3">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 count="1" selected="0">
            <x v="0"/>
          </reference>
        </references>
      </pivotArea>
    </chartFormat>
    <chartFormat chart="16"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7D3DE5-9DE3-47DC-BA60-C8FB4F98C15F}" name="PivotTable6" cacheId="5" applyNumberFormats="0" applyBorderFormats="0" applyFontFormats="0" applyPatternFormats="0" applyAlignmentFormats="0" applyWidthHeightFormats="1" dataCaption="Values" tag="52314fec-c7b1-47c0-b516-2b82eadbdc16" updatedVersion="8" minRefreshableVersion="3" subtotalHiddenItems="1" itemPrintTitles="1" createdVersion="8" indent="0" outline="1" outlineData="1" multipleFieldFilters="0" chartFormat="37">
  <location ref="R4:S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2">
    <format dxfId="7">
      <pivotArea outline="0" collapsedLevelsAreSubtotals="1" fieldPosition="0"/>
    </format>
    <format dxfId="6">
      <pivotArea grandRow="1" outline="0" collapsedLevelsAreSubtotals="1" fieldPosition="0"/>
    </format>
  </formats>
  <chartFormats count="2">
    <chartFormat chart="30" format="2"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DE38D19-C35E-4F1F-8888-B236BE193CA6}" name="PivotTable7" cacheId="6" applyNumberFormats="0" applyBorderFormats="0" applyFontFormats="0" applyPatternFormats="0" applyAlignmentFormats="0" applyWidthHeightFormats="1" dataCaption="Values" tag="362bc822-c24a-4042-8dfd-d207983166fe" updatedVersion="8" minRefreshableVersion="3" subtotalHiddenItems="1" itemPrintTitles="1" createdVersion="8" indent="0" outline="1" outlineData="1" multipleFieldFilters="0" chartFormat="4">
  <location ref="A41:C44"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4">
    <format dxfId="11">
      <pivotArea outline="0" collapsedLevelsAreSubtotals="1" fieldPosition="0"/>
    </format>
    <format dxfId="10">
      <pivotArea collapsedLevelsAreSubtotals="1" fieldPosition="0">
        <references count="1">
          <reference field="2" count="1">
            <x v="1"/>
          </reference>
        </references>
      </pivotArea>
    </format>
    <format dxfId="9">
      <pivotArea collapsedLevelsAreSubtotals="1" fieldPosition="0">
        <references count="1">
          <reference field="2" count="1">
            <x v="0"/>
          </reference>
        </references>
      </pivotArea>
    </format>
    <format dxfId="8">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6641C08-BA6B-486F-96EC-D7741D8B96B0}" name="PivotTable9" cacheId="8" applyNumberFormats="0" applyBorderFormats="0" applyFontFormats="0" applyPatternFormats="0" applyAlignmentFormats="0" applyWidthHeightFormats="1" dataCaption="Values" tag="362bc822-c24a-4042-8dfd-d207983166fe" updatedVersion="8" minRefreshableVersion="3" subtotalHiddenItems="1" itemPrintTitles="1" createdVersion="8" indent="0" outline="1" outlineData="1" multipleFieldFilters="0" chartFormat="13">
  <location ref="G68:H7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n="Within Time"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12">
      <pivotArea outline="0" collapsedLevelsAreSubtotals="1" fieldPosition="0"/>
    </format>
  </formats>
  <chartFormats count="3">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1" count="1" selected="0">
            <x v="0"/>
          </reference>
        </references>
      </pivotArea>
    </chartFormat>
    <chartFormat chart="12"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DD6DA6C-4ED7-4DBF-87E2-25D96E9F4716}" name="PivotTable11" cacheId="10" applyNumberFormats="0" applyBorderFormats="0" applyFontFormats="0" applyPatternFormats="0" applyAlignmentFormats="0" applyWidthHeightFormats="1" dataCaption="Values" tag="362bc822-c24a-4042-8dfd-d207983166fe" updatedVersion="8" minRefreshableVersion="3" subtotalHiddenItems="1" itemPrintTitles="1" createdVersion="8" indent="0" outline="1" outlineData="1" multipleFieldFilters="0" chartFormat="21">
  <location ref="F77:G86"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1">
    <format dxfId="13">
      <pivotArea outline="0" collapsedLevelsAreSubtotals="1" fieldPosition="0"/>
    </format>
  </formats>
  <chartFormats count="2">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AFC356F-E54A-426F-A9FA-A6D5AE0DB878}" name="PivotTable4" cacheId="3" applyNumberFormats="0" applyBorderFormats="0" applyFontFormats="0" applyPatternFormats="0" applyAlignmentFormats="0" applyWidthHeightFormats="1" dataCaption="Values" tag="362bc822-c24a-4042-8dfd-d207983166fe" updatedVersion="8" minRefreshableVersion="3" subtotalHiddenItems="1" itemPrintTitles="1" createdVersion="8"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4">
      <pivotArea outline="0" collapsedLevelsAreSubtotals="1" fieldPosition="0"/>
    </format>
  </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CDF11AD-0268-425C-BDE4-21DA2765AD6B}"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6D3CB05-FCC0-4F0E-8FE7-8E6307A0A7E2}" sourceName="[Calendar_table].[Date (Month)]">
  <pivotTables>
    <pivotTable tabId="1" name="PivotTable5"/>
    <pivotTable tabId="1" name="PivotTable1"/>
    <pivotTable tabId="1" name="PivotTable3"/>
    <pivotTable tabId="1" name="PivotTable4"/>
    <pivotTable tabId="1" name="PivotTable2"/>
    <pivotTable tabId="1" name="PivotTable6"/>
    <pivotTable tabId="1" name="PivotTable7"/>
    <pivotTable tabId="1" name="PivotTable8"/>
    <pivotTable tabId="1" name="PivotTable9"/>
    <pivotTable tabId="1" name="PivotTable10"/>
    <pivotTable tabId="1" name="PivotTable11"/>
    <pivotTable tabId="1" name="PivotTable12"/>
  </pivotTables>
  <data>
    <olap pivotCacheId="577122604">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471C0073-01D4-4F3E-B34C-781FB5AB3BDE}"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577122604">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6CD4730D-2391-423B-B19C-17B8B76F72AC}" cache="Slicer_Date__Month" caption="Date (Month)" showCaption="0" level="1" style="SlicerStyleDark2" rowHeight="144000"/>
  <slicer name="Date (Year)" xr10:uid="{5D2DE56E-0E93-4F60-A7F3-47803E01C351}" cache="Slicer_Date__Year" caption="Date (Year)" columnCount="2" showCaption="0" level="1" style="SlicerStyleDark2 2"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E37671-F820-40FB-8064-CBE339CF06F0}" name="Table_ExternalData_1" displayName="Table_ExternalData_1" ref="A3:M151" tableType="queryTable" totalsRowShown="0">
  <autoFilter ref="A3:M151" xr:uid="{62E37671-F820-40FB-8064-CBE339CF06F0}"/>
  <tableColumns count="13">
    <tableColumn id="1" xr3:uid="{89721F81-16C5-4B42-959B-2D596A81C89B}" uniqueName="1" name="Hospital Emergency Room Data[Patient Id]" queryTableFieldId="1"/>
    <tableColumn id="2" xr3:uid="{AC4D39A5-60E2-4FFF-BBCE-A83D98622F4C}" uniqueName="2" name="Hospital Emergency Room Data[Patient Admission Date]" queryTableFieldId="2" dataDxfId="16"/>
    <tableColumn id="3" xr3:uid="{352DCF4B-7F27-438C-BF3F-9AAF2AB1F6CD}" uniqueName="3" name="Hospital Emergency Room Data[Patient Admission Time]" queryTableFieldId="3" dataDxfId="15"/>
    <tableColumn id="4" xr3:uid="{A6981A94-9D50-4BA2-AB2A-2D7771BAE513}" uniqueName="4" name="Hospital Emergency Room Data[Merged]" queryTableFieldId="4"/>
    <tableColumn id="5" xr3:uid="{4BC61FA7-43EB-415E-90F0-3C37E2229499}" uniqueName="5" name="Hospital Emergency Room Data[Patient Gender]" queryTableFieldId="5"/>
    <tableColumn id="6" xr3:uid="{BA84F31F-CF33-476E-9ED7-656D1E99F97E}" uniqueName="6" name="Hospital Emergency Room Data[Patient Age]" queryTableFieldId="6"/>
    <tableColumn id="7" xr3:uid="{6077D214-CCF8-4996-BA01-C60693C90254}" uniqueName="7" name="Hospital Emergency Room Data[Patient Race]" queryTableFieldId="7"/>
    <tableColumn id="8" xr3:uid="{0B19C72D-69F7-40BD-B34A-76315B5BBC8F}" uniqueName="8" name="Hospital Emergency Room Data[Department Referral]" queryTableFieldId="8"/>
    <tableColumn id="9" xr3:uid="{C10DD47E-0551-483D-BE9F-2E7F7A8403AA}" uniqueName="9" name="Hospital Emergency Room Data[Patient Admission Flag]" queryTableFieldId="9"/>
    <tableColumn id="10" xr3:uid="{9BAC9632-CBCC-4F59-AF27-0C68A8555A95}" uniqueName="10" name="Hospital Emergency Room Data[Patient Satisfaction Score]" queryTableFieldId="10"/>
    <tableColumn id="11" xr3:uid="{81F6F441-473E-4597-9B55-9B68B6496406}" uniqueName="11" name="Hospital Emergency Room Data[Patient Waittime]" queryTableFieldId="11"/>
    <tableColumn id="12" xr3:uid="{6F5B0B62-7434-43A1-9BD4-155BA8B9B58C}" uniqueName="12" name="Hospital Emergency Room Data[Age Group]" queryTableFieldId="12"/>
    <tableColumn id="13" xr3:uid="{4A7B11B9-1533-40A1-8D88-536A3211AD4C}"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D441B-7F39-455F-A2AA-8DB4B4DD1F45}">
  <dimension ref="A1:M151"/>
  <sheetViews>
    <sheetView topLeftCell="B1" zoomScale="64" workbookViewId="0"/>
  </sheetViews>
  <sheetFormatPr defaultRowHeight="14.4" x14ac:dyDescent="0.3"/>
  <cols>
    <col min="1" max="1" width="39.6640625" bestFit="1" customWidth="1"/>
    <col min="2" max="2" width="51.33203125" bestFit="1" customWidth="1"/>
    <col min="3" max="3" width="51.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77734375" bestFit="1" customWidth="1"/>
  </cols>
  <sheetData>
    <row r="1" spans="1:13" x14ac:dyDescent="0.3">
      <c r="A1" s="21" t="s">
        <v>367</v>
      </c>
    </row>
    <row r="3" spans="1:13" x14ac:dyDescent="0.3">
      <c r="A3" t="s">
        <v>51</v>
      </c>
      <c r="B3" t="s">
        <v>52</v>
      </c>
      <c r="C3" t="s">
        <v>53</v>
      </c>
      <c r="D3" t="s">
        <v>54</v>
      </c>
      <c r="E3" t="s">
        <v>55</v>
      </c>
      <c r="F3" t="s">
        <v>56</v>
      </c>
      <c r="G3" t="s">
        <v>57</v>
      </c>
      <c r="H3" t="s">
        <v>58</v>
      </c>
      <c r="I3" t="s">
        <v>59</v>
      </c>
      <c r="J3" t="s">
        <v>60</v>
      </c>
      <c r="K3" t="s">
        <v>61</v>
      </c>
      <c r="L3" t="s">
        <v>62</v>
      </c>
      <c r="M3" t="s">
        <v>63</v>
      </c>
    </row>
    <row r="4" spans="1:13" x14ac:dyDescent="0.3">
      <c r="A4" t="s">
        <v>64</v>
      </c>
      <c r="B4" s="19">
        <v>45338</v>
      </c>
      <c r="C4" s="20">
        <v>0.21249999999999999</v>
      </c>
      <c r="D4" t="s">
        <v>65</v>
      </c>
      <c r="E4" t="s">
        <v>37</v>
      </c>
      <c r="F4">
        <v>22</v>
      </c>
      <c r="G4" t="s">
        <v>66</v>
      </c>
      <c r="H4" t="s">
        <v>44</v>
      </c>
      <c r="I4" t="s">
        <v>15</v>
      </c>
      <c r="K4">
        <v>23</v>
      </c>
      <c r="L4" t="s">
        <v>24</v>
      </c>
      <c r="M4" t="s">
        <v>32</v>
      </c>
    </row>
    <row r="5" spans="1:13" x14ac:dyDescent="0.3">
      <c r="A5" t="s">
        <v>67</v>
      </c>
      <c r="B5" s="19">
        <v>45339</v>
      </c>
      <c r="C5" s="20">
        <v>0.86319444444444449</v>
      </c>
      <c r="D5" t="s">
        <v>68</v>
      </c>
      <c r="E5" t="s">
        <v>37</v>
      </c>
      <c r="F5">
        <v>37</v>
      </c>
      <c r="G5" t="s">
        <v>66</v>
      </c>
      <c r="H5" t="s">
        <v>44</v>
      </c>
      <c r="I5" t="s">
        <v>15</v>
      </c>
      <c r="K5">
        <v>22</v>
      </c>
      <c r="L5" t="s">
        <v>25</v>
      </c>
      <c r="M5" t="s">
        <v>32</v>
      </c>
    </row>
    <row r="6" spans="1:13" x14ac:dyDescent="0.3">
      <c r="A6" t="s">
        <v>69</v>
      </c>
      <c r="B6" s="19">
        <v>45340</v>
      </c>
      <c r="C6" s="20">
        <v>0.97916666666666663</v>
      </c>
      <c r="D6" t="s">
        <v>70</v>
      </c>
      <c r="E6" t="s">
        <v>37</v>
      </c>
      <c r="F6">
        <v>17</v>
      </c>
      <c r="G6" t="s">
        <v>66</v>
      </c>
      <c r="H6" t="s">
        <v>44</v>
      </c>
      <c r="I6" t="s">
        <v>15</v>
      </c>
      <c r="K6">
        <v>23</v>
      </c>
      <c r="L6" t="s">
        <v>23</v>
      </c>
      <c r="M6" t="s">
        <v>32</v>
      </c>
    </row>
    <row r="7" spans="1:13" x14ac:dyDescent="0.3">
      <c r="A7" t="s">
        <v>71</v>
      </c>
      <c r="B7" s="19">
        <v>45350</v>
      </c>
      <c r="C7" s="20">
        <v>0.52152777777777781</v>
      </c>
      <c r="D7" t="s">
        <v>72</v>
      </c>
      <c r="E7" t="s">
        <v>37</v>
      </c>
      <c r="F7">
        <v>56</v>
      </c>
      <c r="G7" t="s">
        <v>66</v>
      </c>
      <c r="H7" t="s">
        <v>44</v>
      </c>
      <c r="I7" t="s">
        <v>15</v>
      </c>
      <c r="K7">
        <v>12</v>
      </c>
      <c r="L7" t="s">
        <v>27</v>
      </c>
      <c r="M7" t="s">
        <v>32</v>
      </c>
    </row>
    <row r="8" spans="1:13" x14ac:dyDescent="0.3">
      <c r="A8" t="s">
        <v>73</v>
      </c>
      <c r="B8" s="19">
        <v>45346</v>
      </c>
      <c r="C8" s="20">
        <v>0.24236111111111111</v>
      </c>
      <c r="D8" t="s">
        <v>74</v>
      </c>
      <c r="E8" t="s">
        <v>37</v>
      </c>
      <c r="F8">
        <v>32</v>
      </c>
      <c r="G8" t="s">
        <v>66</v>
      </c>
      <c r="H8" t="s">
        <v>44</v>
      </c>
      <c r="I8" t="s">
        <v>15</v>
      </c>
      <c r="K8">
        <v>14</v>
      </c>
      <c r="L8" t="s">
        <v>25</v>
      </c>
      <c r="M8" t="s">
        <v>32</v>
      </c>
    </row>
    <row r="9" spans="1:13" x14ac:dyDescent="0.3">
      <c r="A9" t="s">
        <v>75</v>
      </c>
      <c r="B9" s="19">
        <v>45340</v>
      </c>
      <c r="C9" s="20">
        <v>0.58680555555555558</v>
      </c>
      <c r="D9" t="s">
        <v>76</v>
      </c>
      <c r="E9" t="s">
        <v>37</v>
      </c>
      <c r="F9">
        <v>58</v>
      </c>
      <c r="G9" t="s">
        <v>66</v>
      </c>
      <c r="H9" t="s">
        <v>44</v>
      </c>
      <c r="I9" t="s">
        <v>15</v>
      </c>
      <c r="K9">
        <v>21</v>
      </c>
      <c r="L9" t="s">
        <v>27</v>
      </c>
      <c r="M9" t="s">
        <v>32</v>
      </c>
    </row>
    <row r="10" spans="1:13" x14ac:dyDescent="0.3">
      <c r="A10" t="s">
        <v>77</v>
      </c>
      <c r="B10" s="19">
        <v>45343</v>
      </c>
      <c r="C10" s="20">
        <v>0.95486111111111116</v>
      </c>
      <c r="D10" t="s">
        <v>78</v>
      </c>
      <c r="E10" t="s">
        <v>36</v>
      </c>
      <c r="F10">
        <v>44</v>
      </c>
      <c r="G10" t="s">
        <v>66</v>
      </c>
      <c r="H10" t="s">
        <v>44</v>
      </c>
      <c r="I10" t="s">
        <v>15</v>
      </c>
      <c r="K10">
        <v>30</v>
      </c>
      <c r="L10" t="s">
        <v>26</v>
      </c>
      <c r="M10" t="s">
        <v>32</v>
      </c>
    </row>
    <row r="11" spans="1:13" x14ac:dyDescent="0.3">
      <c r="A11" t="s">
        <v>79</v>
      </c>
      <c r="B11" s="19">
        <v>45344</v>
      </c>
      <c r="C11" s="20">
        <v>0.69305555555555554</v>
      </c>
      <c r="D11" t="s">
        <v>80</v>
      </c>
      <c r="E11" t="s">
        <v>36</v>
      </c>
      <c r="F11">
        <v>72</v>
      </c>
      <c r="G11" t="s">
        <v>66</v>
      </c>
      <c r="H11" t="s">
        <v>44</v>
      </c>
      <c r="I11" t="s">
        <v>15</v>
      </c>
      <c r="K11">
        <v>14</v>
      </c>
      <c r="L11" t="s">
        <v>29</v>
      </c>
      <c r="M11" t="s">
        <v>32</v>
      </c>
    </row>
    <row r="12" spans="1:13" x14ac:dyDescent="0.3">
      <c r="A12" t="s">
        <v>81</v>
      </c>
      <c r="B12" s="19">
        <v>45343</v>
      </c>
      <c r="C12" s="20">
        <v>0.74652777777777779</v>
      </c>
      <c r="D12" t="s">
        <v>82</v>
      </c>
      <c r="E12" t="s">
        <v>36</v>
      </c>
      <c r="F12">
        <v>58</v>
      </c>
      <c r="G12" t="s">
        <v>66</v>
      </c>
      <c r="H12" t="s">
        <v>44</v>
      </c>
      <c r="I12" t="s">
        <v>15</v>
      </c>
      <c r="K12">
        <v>24</v>
      </c>
      <c r="L12" t="s">
        <v>27</v>
      </c>
      <c r="M12" t="s">
        <v>32</v>
      </c>
    </row>
    <row r="13" spans="1:13" x14ac:dyDescent="0.3">
      <c r="A13" t="s">
        <v>83</v>
      </c>
      <c r="B13" s="19">
        <v>45348</v>
      </c>
      <c r="C13" s="20">
        <v>0.3</v>
      </c>
      <c r="D13" t="s">
        <v>84</v>
      </c>
      <c r="E13" t="s">
        <v>36</v>
      </c>
      <c r="F13">
        <v>35</v>
      </c>
      <c r="G13" t="s">
        <v>66</v>
      </c>
      <c r="H13" t="s">
        <v>44</v>
      </c>
      <c r="I13" t="s">
        <v>16</v>
      </c>
      <c r="K13">
        <v>24</v>
      </c>
      <c r="L13" t="s">
        <v>25</v>
      </c>
      <c r="M13" t="s">
        <v>32</v>
      </c>
    </row>
    <row r="14" spans="1:13" x14ac:dyDescent="0.3">
      <c r="A14" t="s">
        <v>85</v>
      </c>
      <c r="B14" s="19">
        <v>45329</v>
      </c>
      <c r="C14" s="20">
        <v>0.2298611111111111</v>
      </c>
      <c r="D14" t="s">
        <v>86</v>
      </c>
      <c r="E14" t="s">
        <v>36</v>
      </c>
      <c r="F14">
        <v>22</v>
      </c>
      <c r="G14" t="s">
        <v>66</v>
      </c>
      <c r="H14" t="s">
        <v>44</v>
      </c>
      <c r="I14" t="s">
        <v>16</v>
      </c>
      <c r="K14">
        <v>10</v>
      </c>
      <c r="L14" t="s">
        <v>24</v>
      </c>
      <c r="M14" t="s">
        <v>32</v>
      </c>
    </row>
    <row r="15" spans="1:13" x14ac:dyDescent="0.3">
      <c r="A15" t="s">
        <v>87</v>
      </c>
      <c r="B15" s="19">
        <v>45334</v>
      </c>
      <c r="C15" s="20">
        <v>0.87638888888888888</v>
      </c>
      <c r="D15" t="s">
        <v>88</v>
      </c>
      <c r="E15" t="s">
        <v>36</v>
      </c>
      <c r="F15">
        <v>60</v>
      </c>
      <c r="G15" t="s">
        <v>66</v>
      </c>
      <c r="H15" t="s">
        <v>44</v>
      </c>
      <c r="I15" t="s">
        <v>16</v>
      </c>
      <c r="K15">
        <v>17</v>
      </c>
      <c r="L15" t="s">
        <v>28</v>
      </c>
      <c r="M15" t="s">
        <v>32</v>
      </c>
    </row>
    <row r="16" spans="1:13" x14ac:dyDescent="0.3">
      <c r="A16" t="s">
        <v>89</v>
      </c>
      <c r="B16" s="19">
        <v>45347</v>
      </c>
      <c r="C16" s="20">
        <v>0.48541666666666666</v>
      </c>
      <c r="D16" t="s">
        <v>90</v>
      </c>
      <c r="E16" t="s">
        <v>36</v>
      </c>
      <c r="F16">
        <v>49</v>
      </c>
      <c r="G16" t="s">
        <v>66</v>
      </c>
      <c r="H16" t="s">
        <v>44</v>
      </c>
      <c r="I16" t="s">
        <v>16</v>
      </c>
      <c r="K16">
        <v>13</v>
      </c>
      <c r="L16" t="s">
        <v>26</v>
      </c>
      <c r="M16" t="s">
        <v>32</v>
      </c>
    </row>
    <row r="17" spans="1:13" x14ac:dyDescent="0.3">
      <c r="A17" t="s">
        <v>91</v>
      </c>
      <c r="B17" s="19">
        <v>45334</v>
      </c>
      <c r="C17" s="20">
        <v>0.51527777777777772</v>
      </c>
      <c r="D17" t="s">
        <v>92</v>
      </c>
      <c r="E17" t="s">
        <v>36</v>
      </c>
      <c r="F17">
        <v>22</v>
      </c>
      <c r="G17" t="s">
        <v>66</v>
      </c>
      <c r="H17" t="s">
        <v>44</v>
      </c>
      <c r="I17" t="s">
        <v>16</v>
      </c>
      <c r="K17">
        <v>24</v>
      </c>
      <c r="L17" t="s">
        <v>24</v>
      </c>
      <c r="M17" t="s">
        <v>32</v>
      </c>
    </row>
    <row r="18" spans="1:13" x14ac:dyDescent="0.3">
      <c r="A18" t="s">
        <v>93</v>
      </c>
      <c r="B18" s="19">
        <v>45337</v>
      </c>
      <c r="C18" s="20">
        <v>0.56944444444444442</v>
      </c>
      <c r="D18" t="s">
        <v>94</v>
      </c>
      <c r="E18" t="s">
        <v>36</v>
      </c>
      <c r="F18">
        <v>51</v>
      </c>
      <c r="G18" t="s">
        <v>66</v>
      </c>
      <c r="H18" t="s">
        <v>44</v>
      </c>
      <c r="I18" t="s">
        <v>16</v>
      </c>
      <c r="K18">
        <v>23</v>
      </c>
      <c r="L18" t="s">
        <v>27</v>
      </c>
      <c r="M18" t="s">
        <v>32</v>
      </c>
    </row>
    <row r="19" spans="1:13" x14ac:dyDescent="0.3">
      <c r="A19" t="s">
        <v>95</v>
      </c>
      <c r="B19" s="19">
        <v>45349</v>
      </c>
      <c r="C19" s="20">
        <v>0.7104166666666667</v>
      </c>
      <c r="D19" t="s">
        <v>96</v>
      </c>
      <c r="E19" t="s">
        <v>37</v>
      </c>
      <c r="F19">
        <v>10</v>
      </c>
      <c r="G19" t="s">
        <v>66</v>
      </c>
      <c r="H19" t="s">
        <v>44</v>
      </c>
      <c r="I19" t="s">
        <v>16</v>
      </c>
      <c r="K19">
        <v>17</v>
      </c>
      <c r="L19" t="s">
        <v>23</v>
      </c>
      <c r="M19" t="s">
        <v>32</v>
      </c>
    </row>
    <row r="20" spans="1:13" x14ac:dyDescent="0.3">
      <c r="A20" t="s">
        <v>97</v>
      </c>
      <c r="B20" s="19">
        <v>45346</v>
      </c>
      <c r="C20" s="20">
        <v>0.90972222222222221</v>
      </c>
      <c r="D20" t="s">
        <v>98</v>
      </c>
      <c r="E20" t="s">
        <v>37</v>
      </c>
      <c r="F20">
        <v>53</v>
      </c>
      <c r="G20" t="s">
        <v>66</v>
      </c>
      <c r="H20" t="s">
        <v>44</v>
      </c>
      <c r="I20" t="s">
        <v>16</v>
      </c>
      <c r="K20">
        <v>27</v>
      </c>
      <c r="L20" t="s">
        <v>27</v>
      </c>
      <c r="M20" t="s">
        <v>32</v>
      </c>
    </row>
    <row r="21" spans="1:13" x14ac:dyDescent="0.3">
      <c r="A21" t="s">
        <v>99</v>
      </c>
      <c r="B21" s="19">
        <v>45336</v>
      </c>
      <c r="C21" s="20">
        <v>6.9444444444444448E-2</v>
      </c>
      <c r="D21" t="s">
        <v>100</v>
      </c>
      <c r="E21" t="s">
        <v>37</v>
      </c>
      <c r="F21">
        <v>42</v>
      </c>
      <c r="G21" t="s">
        <v>66</v>
      </c>
      <c r="H21" t="s">
        <v>44</v>
      </c>
      <c r="I21" t="s">
        <v>16</v>
      </c>
      <c r="K21">
        <v>27</v>
      </c>
      <c r="L21" t="s">
        <v>26</v>
      </c>
      <c r="M21" t="s">
        <v>32</v>
      </c>
    </row>
    <row r="22" spans="1:13" x14ac:dyDescent="0.3">
      <c r="A22" t="s">
        <v>101</v>
      </c>
      <c r="B22" s="19">
        <v>45347</v>
      </c>
      <c r="C22" s="20">
        <v>0.83472222222222225</v>
      </c>
      <c r="D22" t="s">
        <v>102</v>
      </c>
      <c r="E22" t="s">
        <v>37</v>
      </c>
      <c r="F22">
        <v>12</v>
      </c>
      <c r="G22" t="s">
        <v>103</v>
      </c>
      <c r="H22" t="s">
        <v>44</v>
      </c>
      <c r="I22" t="s">
        <v>16</v>
      </c>
      <c r="K22">
        <v>22</v>
      </c>
      <c r="L22" t="s">
        <v>23</v>
      </c>
      <c r="M22" t="s">
        <v>32</v>
      </c>
    </row>
    <row r="23" spans="1:13" x14ac:dyDescent="0.3">
      <c r="A23" t="s">
        <v>104</v>
      </c>
      <c r="B23" s="19">
        <v>45330</v>
      </c>
      <c r="C23" s="20">
        <v>0.69722222222222219</v>
      </c>
      <c r="D23" t="s">
        <v>105</v>
      </c>
      <c r="E23" t="s">
        <v>37</v>
      </c>
      <c r="F23">
        <v>66</v>
      </c>
      <c r="G23" t="s">
        <v>103</v>
      </c>
      <c r="H23" t="s">
        <v>44</v>
      </c>
      <c r="I23" t="s">
        <v>16</v>
      </c>
      <c r="K23">
        <v>15</v>
      </c>
      <c r="L23" t="s">
        <v>28</v>
      </c>
      <c r="M23" t="s">
        <v>32</v>
      </c>
    </row>
    <row r="24" spans="1:13" x14ac:dyDescent="0.3">
      <c r="A24" t="s">
        <v>106</v>
      </c>
      <c r="B24" s="19">
        <v>45342</v>
      </c>
      <c r="C24" s="20">
        <v>0.23125000000000001</v>
      </c>
      <c r="D24" t="s">
        <v>107</v>
      </c>
      <c r="E24" t="s">
        <v>37</v>
      </c>
      <c r="F24">
        <v>66</v>
      </c>
      <c r="G24" t="s">
        <v>103</v>
      </c>
      <c r="H24" t="s">
        <v>44</v>
      </c>
      <c r="I24" t="s">
        <v>16</v>
      </c>
      <c r="K24">
        <v>20</v>
      </c>
      <c r="L24" t="s">
        <v>28</v>
      </c>
      <c r="M24" t="s">
        <v>32</v>
      </c>
    </row>
    <row r="25" spans="1:13" x14ac:dyDescent="0.3">
      <c r="A25" t="s">
        <v>108</v>
      </c>
      <c r="B25" s="19">
        <v>45338</v>
      </c>
      <c r="C25" s="20">
        <v>0.95902777777777781</v>
      </c>
      <c r="D25" t="s">
        <v>109</v>
      </c>
      <c r="E25" t="s">
        <v>37</v>
      </c>
      <c r="F25">
        <v>68</v>
      </c>
      <c r="G25" t="s">
        <v>103</v>
      </c>
      <c r="H25" t="s">
        <v>44</v>
      </c>
      <c r="I25" t="s">
        <v>16</v>
      </c>
      <c r="K25">
        <v>19</v>
      </c>
      <c r="L25" t="s">
        <v>28</v>
      </c>
      <c r="M25" t="s">
        <v>32</v>
      </c>
    </row>
    <row r="26" spans="1:13" x14ac:dyDescent="0.3">
      <c r="A26" t="s">
        <v>110</v>
      </c>
      <c r="B26" s="19">
        <v>45349</v>
      </c>
      <c r="C26" s="20">
        <v>0.31736111111111109</v>
      </c>
      <c r="D26" t="s">
        <v>111</v>
      </c>
      <c r="E26" t="s">
        <v>36</v>
      </c>
      <c r="F26">
        <v>55</v>
      </c>
      <c r="G26" t="s">
        <v>103</v>
      </c>
      <c r="H26" t="s">
        <v>44</v>
      </c>
      <c r="I26" t="s">
        <v>16</v>
      </c>
      <c r="K26">
        <v>25</v>
      </c>
      <c r="L26" t="s">
        <v>27</v>
      </c>
      <c r="M26" t="s">
        <v>32</v>
      </c>
    </row>
    <row r="27" spans="1:13" x14ac:dyDescent="0.3">
      <c r="A27" t="s">
        <v>112</v>
      </c>
      <c r="B27" s="19">
        <v>45347</v>
      </c>
      <c r="C27" s="20">
        <v>4.3749999999999997E-2</v>
      </c>
      <c r="D27" t="s">
        <v>113</v>
      </c>
      <c r="E27" t="s">
        <v>36</v>
      </c>
      <c r="F27">
        <v>47</v>
      </c>
      <c r="G27" t="s">
        <v>103</v>
      </c>
      <c r="H27" t="s">
        <v>44</v>
      </c>
      <c r="I27" t="s">
        <v>16</v>
      </c>
      <c r="K27">
        <v>14</v>
      </c>
      <c r="L27" t="s">
        <v>26</v>
      </c>
      <c r="M27" t="s">
        <v>32</v>
      </c>
    </row>
    <row r="28" spans="1:13" x14ac:dyDescent="0.3">
      <c r="A28" t="s">
        <v>114</v>
      </c>
      <c r="B28" s="19">
        <v>45331</v>
      </c>
      <c r="C28" s="20">
        <v>0.41041666666666665</v>
      </c>
      <c r="D28" t="s">
        <v>115</v>
      </c>
      <c r="E28" t="s">
        <v>36</v>
      </c>
      <c r="F28">
        <v>48</v>
      </c>
      <c r="G28" t="s">
        <v>103</v>
      </c>
      <c r="H28" t="s">
        <v>44</v>
      </c>
      <c r="I28" t="s">
        <v>16</v>
      </c>
      <c r="K28">
        <v>14</v>
      </c>
      <c r="L28" t="s">
        <v>26</v>
      </c>
      <c r="M28" t="s">
        <v>32</v>
      </c>
    </row>
    <row r="29" spans="1:13" x14ac:dyDescent="0.3">
      <c r="A29" t="s">
        <v>116</v>
      </c>
      <c r="B29" s="19">
        <v>45333</v>
      </c>
      <c r="C29" s="20">
        <v>0.51458333333333328</v>
      </c>
      <c r="D29" t="s">
        <v>117</v>
      </c>
      <c r="E29" t="s">
        <v>36</v>
      </c>
      <c r="F29">
        <v>30</v>
      </c>
      <c r="G29" t="s">
        <v>103</v>
      </c>
      <c r="H29" t="s">
        <v>44</v>
      </c>
      <c r="I29" t="s">
        <v>16</v>
      </c>
      <c r="K29">
        <v>19</v>
      </c>
      <c r="L29" t="s">
        <v>25</v>
      </c>
      <c r="M29" t="s">
        <v>32</v>
      </c>
    </row>
    <row r="30" spans="1:13" x14ac:dyDescent="0.3">
      <c r="A30" t="s">
        <v>118</v>
      </c>
      <c r="B30" s="19">
        <v>45326</v>
      </c>
      <c r="C30" s="20">
        <v>0.37708333333333333</v>
      </c>
      <c r="D30" t="s">
        <v>119</v>
      </c>
      <c r="E30" t="s">
        <v>36</v>
      </c>
      <c r="F30">
        <v>68</v>
      </c>
      <c r="G30" t="s">
        <v>103</v>
      </c>
      <c r="H30" t="s">
        <v>44</v>
      </c>
      <c r="I30" t="s">
        <v>15</v>
      </c>
      <c r="K30">
        <v>21</v>
      </c>
      <c r="L30" t="s">
        <v>28</v>
      </c>
      <c r="M30" t="s">
        <v>32</v>
      </c>
    </row>
    <row r="31" spans="1:13" x14ac:dyDescent="0.3">
      <c r="A31" t="s">
        <v>120</v>
      </c>
      <c r="B31" s="19">
        <v>45344</v>
      </c>
      <c r="C31" s="20">
        <v>0.69444444444444442</v>
      </c>
      <c r="D31" t="s">
        <v>121</v>
      </c>
      <c r="E31" t="s">
        <v>36</v>
      </c>
      <c r="F31">
        <v>45</v>
      </c>
      <c r="G31" t="s">
        <v>103</v>
      </c>
      <c r="H31" t="s">
        <v>44</v>
      </c>
      <c r="I31" t="s">
        <v>15</v>
      </c>
      <c r="K31">
        <v>21</v>
      </c>
      <c r="L31" t="s">
        <v>26</v>
      </c>
      <c r="M31" t="s">
        <v>32</v>
      </c>
    </row>
    <row r="32" spans="1:13" x14ac:dyDescent="0.3">
      <c r="A32" t="s">
        <v>122</v>
      </c>
      <c r="B32" s="19">
        <v>45337</v>
      </c>
      <c r="C32" s="20">
        <v>0.12916666666666668</v>
      </c>
      <c r="D32" t="s">
        <v>123</v>
      </c>
      <c r="E32" t="s">
        <v>37</v>
      </c>
      <c r="F32">
        <v>66</v>
      </c>
      <c r="G32" t="s">
        <v>103</v>
      </c>
      <c r="H32" t="s">
        <v>44</v>
      </c>
      <c r="I32" t="s">
        <v>15</v>
      </c>
      <c r="K32">
        <v>18</v>
      </c>
      <c r="L32" t="s">
        <v>28</v>
      </c>
      <c r="M32" t="s">
        <v>32</v>
      </c>
    </row>
    <row r="33" spans="1:13" x14ac:dyDescent="0.3">
      <c r="A33" t="s">
        <v>124</v>
      </c>
      <c r="B33" s="19">
        <v>45347</v>
      </c>
      <c r="C33" s="20">
        <v>0.43125000000000002</v>
      </c>
      <c r="D33" t="s">
        <v>125</v>
      </c>
      <c r="E33" t="s">
        <v>37</v>
      </c>
      <c r="F33">
        <v>53</v>
      </c>
      <c r="G33" t="s">
        <v>103</v>
      </c>
      <c r="H33" t="s">
        <v>44</v>
      </c>
      <c r="I33" t="s">
        <v>15</v>
      </c>
      <c r="K33">
        <v>16</v>
      </c>
      <c r="L33" t="s">
        <v>27</v>
      </c>
      <c r="M33" t="s">
        <v>32</v>
      </c>
    </row>
    <row r="34" spans="1:13" x14ac:dyDescent="0.3">
      <c r="A34" t="s">
        <v>126</v>
      </c>
      <c r="B34" s="19">
        <v>45334</v>
      </c>
      <c r="C34" s="20">
        <v>3.0555555555555555E-2</v>
      </c>
      <c r="D34" t="s">
        <v>127</v>
      </c>
      <c r="E34" t="s">
        <v>37</v>
      </c>
      <c r="F34">
        <v>38</v>
      </c>
      <c r="G34" t="s">
        <v>103</v>
      </c>
      <c r="H34" t="s">
        <v>44</v>
      </c>
      <c r="I34" t="s">
        <v>15</v>
      </c>
      <c r="K34">
        <v>21</v>
      </c>
      <c r="L34" t="s">
        <v>25</v>
      </c>
      <c r="M34" t="s">
        <v>32</v>
      </c>
    </row>
    <row r="35" spans="1:13" x14ac:dyDescent="0.3">
      <c r="A35" t="s">
        <v>128</v>
      </c>
      <c r="B35" s="19">
        <v>45325</v>
      </c>
      <c r="C35" s="20">
        <v>0.70972222222222225</v>
      </c>
      <c r="D35" t="s">
        <v>129</v>
      </c>
      <c r="E35" t="s">
        <v>36</v>
      </c>
      <c r="F35">
        <v>26</v>
      </c>
      <c r="G35" t="s">
        <v>130</v>
      </c>
      <c r="H35" t="s">
        <v>44</v>
      </c>
      <c r="I35" t="s">
        <v>15</v>
      </c>
      <c r="K35">
        <v>16</v>
      </c>
      <c r="L35" t="s">
        <v>24</v>
      </c>
      <c r="M35" t="s">
        <v>32</v>
      </c>
    </row>
    <row r="36" spans="1:13" x14ac:dyDescent="0.3">
      <c r="A36" t="s">
        <v>131</v>
      </c>
      <c r="B36" s="19">
        <v>45338</v>
      </c>
      <c r="C36" s="20">
        <v>0.83819444444444446</v>
      </c>
      <c r="D36" t="s">
        <v>132</v>
      </c>
      <c r="E36" t="s">
        <v>36</v>
      </c>
      <c r="F36">
        <v>28</v>
      </c>
      <c r="G36" t="s">
        <v>130</v>
      </c>
      <c r="H36" t="s">
        <v>44</v>
      </c>
      <c r="I36" t="s">
        <v>15</v>
      </c>
      <c r="K36">
        <v>19</v>
      </c>
      <c r="L36" t="s">
        <v>24</v>
      </c>
      <c r="M36" t="s">
        <v>32</v>
      </c>
    </row>
    <row r="37" spans="1:13" x14ac:dyDescent="0.3">
      <c r="A37" t="s">
        <v>133</v>
      </c>
      <c r="B37" s="19">
        <v>45335</v>
      </c>
      <c r="C37" s="20">
        <v>0.40069444444444446</v>
      </c>
      <c r="D37" t="s">
        <v>134</v>
      </c>
      <c r="E37" t="s">
        <v>36</v>
      </c>
      <c r="F37">
        <v>43</v>
      </c>
      <c r="G37" t="s">
        <v>130</v>
      </c>
      <c r="H37" t="s">
        <v>44</v>
      </c>
      <c r="I37" t="s">
        <v>15</v>
      </c>
      <c r="K37">
        <v>19</v>
      </c>
      <c r="L37" t="s">
        <v>26</v>
      </c>
      <c r="M37" t="s">
        <v>32</v>
      </c>
    </row>
    <row r="38" spans="1:13" x14ac:dyDescent="0.3">
      <c r="A38" t="s">
        <v>135</v>
      </c>
      <c r="B38" s="19">
        <v>45343</v>
      </c>
      <c r="C38" s="20">
        <v>0.74027777777777781</v>
      </c>
      <c r="D38" t="s">
        <v>136</v>
      </c>
      <c r="E38" t="s">
        <v>36</v>
      </c>
      <c r="F38">
        <v>31</v>
      </c>
      <c r="G38" t="s">
        <v>130</v>
      </c>
      <c r="H38" t="s">
        <v>44</v>
      </c>
      <c r="I38" t="s">
        <v>16</v>
      </c>
      <c r="K38">
        <v>29</v>
      </c>
      <c r="L38" t="s">
        <v>25</v>
      </c>
      <c r="M38" t="s">
        <v>32</v>
      </c>
    </row>
    <row r="39" spans="1:13" x14ac:dyDescent="0.3">
      <c r="A39" t="s">
        <v>137</v>
      </c>
      <c r="B39" s="19">
        <v>45326</v>
      </c>
      <c r="C39" s="20">
        <v>0.45416666666666666</v>
      </c>
      <c r="D39" t="s">
        <v>138</v>
      </c>
      <c r="E39" t="s">
        <v>36</v>
      </c>
      <c r="F39">
        <v>55</v>
      </c>
      <c r="G39" t="s">
        <v>130</v>
      </c>
      <c r="H39" t="s">
        <v>44</v>
      </c>
      <c r="I39" t="s">
        <v>16</v>
      </c>
      <c r="K39">
        <v>28</v>
      </c>
      <c r="L39" t="s">
        <v>27</v>
      </c>
      <c r="M39" t="s">
        <v>32</v>
      </c>
    </row>
    <row r="40" spans="1:13" x14ac:dyDescent="0.3">
      <c r="A40" t="s">
        <v>139</v>
      </c>
      <c r="B40" s="19">
        <v>45351</v>
      </c>
      <c r="C40" s="20">
        <v>0.37361111111111112</v>
      </c>
      <c r="D40" t="s">
        <v>140</v>
      </c>
      <c r="E40" t="s">
        <v>36</v>
      </c>
      <c r="F40">
        <v>48</v>
      </c>
      <c r="G40" t="s">
        <v>130</v>
      </c>
      <c r="H40" t="s">
        <v>44</v>
      </c>
      <c r="I40" t="s">
        <v>16</v>
      </c>
      <c r="K40">
        <v>24</v>
      </c>
      <c r="L40" t="s">
        <v>26</v>
      </c>
      <c r="M40" t="s">
        <v>32</v>
      </c>
    </row>
    <row r="41" spans="1:13" x14ac:dyDescent="0.3">
      <c r="A41" t="s">
        <v>141</v>
      </c>
      <c r="B41" s="19">
        <v>45346</v>
      </c>
      <c r="C41" s="20">
        <v>0.46597222222222223</v>
      </c>
      <c r="D41" t="s">
        <v>142</v>
      </c>
      <c r="E41" t="s">
        <v>36</v>
      </c>
      <c r="F41">
        <v>13</v>
      </c>
      <c r="G41" t="s">
        <v>130</v>
      </c>
      <c r="H41" t="s">
        <v>44</v>
      </c>
      <c r="I41" t="s">
        <v>16</v>
      </c>
      <c r="K41">
        <v>24</v>
      </c>
      <c r="L41" t="s">
        <v>23</v>
      </c>
      <c r="M41" t="s">
        <v>32</v>
      </c>
    </row>
    <row r="42" spans="1:13" x14ac:dyDescent="0.3">
      <c r="A42" t="s">
        <v>143</v>
      </c>
      <c r="B42" s="19">
        <v>45349</v>
      </c>
      <c r="C42" s="20">
        <v>0.5854166666666667</v>
      </c>
      <c r="D42" t="s">
        <v>144</v>
      </c>
      <c r="E42" t="s">
        <v>37</v>
      </c>
      <c r="F42">
        <v>32</v>
      </c>
      <c r="G42" t="s">
        <v>130</v>
      </c>
      <c r="H42" t="s">
        <v>44</v>
      </c>
      <c r="I42" t="s">
        <v>15</v>
      </c>
      <c r="K42">
        <v>18</v>
      </c>
      <c r="L42" t="s">
        <v>25</v>
      </c>
      <c r="M42" t="s">
        <v>32</v>
      </c>
    </row>
    <row r="43" spans="1:13" x14ac:dyDescent="0.3">
      <c r="A43" t="s">
        <v>145</v>
      </c>
      <c r="B43" s="19">
        <v>45342</v>
      </c>
      <c r="C43" s="20">
        <v>0.25555555555555554</v>
      </c>
      <c r="D43" t="s">
        <v>146</v>
      </c>
      <c r="E43" t="s">
        <v>37</v>
      </c>
      <c r="F43">
        <v>29</v>
      </c>
      <c r="G43" t="s">
        <v>130</v>
      </c>
      <c r="H43" t="s">
        <v>44</v>
      </c>
      <c r="I43" t="s">
        <v>15</v>
      </c>
      <c r="K43">
        <v>20</v>
      </c>
      <c r="L43" t="s">
        <v>24</v>
      </c>
      <c r="M43" t="s">
        <v>32</v>
      </c>
    </row>
    <row r="44" spans="1:13" x14ac:dyDescent="0.3">
      <c r="A44" t="s">
        <v>147</v>
      </c>
      <c r="B44" s="19">
        <v>45348</v>
      </c>
      <c r="C44" s="20">
        <v>5.2083333333333336E-2</v>
      </c>
      <c r="D44" t="s">
        <v>148</v>
      </c>
      <c r="E44" t="s">
        <v>37</v>
      </c>
      <c r="F44">
        <v>39</v>
      </c>
      <c r="G44" t="s">
        <v>130</v>
      </c>
      <c r="H44" t="s">
        <v>44</v>
      </c>
      <c r="I44" t="s">
        <v>15</v>
      </c>
      <c r="K44">
        <v>15</v>
      </c>
      <c r="L44" t="s">
        <v>25</v>
      </c>
      <c r="M44" t="s">
        <v>32</v>
      </c>
    </row>
    <row r="45" spans="1:13" x14ac:dyDescent="0.3">
      <c r="A45" t="s">
        <v>149</v>
      </c>
      <c r="B45" s="19">
        <v>45345</v>
      </c>
      <c r="C45" s="20">
        <v>0.92569444444444449</v>
      </c>
      <c r="D45" t="s">
        <v>150</v>
      </c>
      <c r="E45" t="s">
        <v>37</v>
      </c>
      <c r="F45">
        <v>70</v>
      </c>
      <c r="G45" t="s">
        <v>130</v>
      </c>
      <c r="H45" t="s">
        <v>44</v>
      </c>
      <c r="I45" t="s">
        <v>15</v>
      </c>
      <c r="K45">
        <v>19</v>
      </c>
      <c r="L45" t="s">
        <v>29</v>
      </c>
      <c r="M45" t="s">
        <v>32</v>
      </c>
    </row>
    <row r="46" spans="1:13" x14ac:dyDescent="0.3">
      <c r="A46" t="s">
        <v>151</v>
      </c>
      <c r="B46" s="19">
        <v>45328</v>
      </c>
      <c r="C46" s="20">
        <v>0.30694444444444446</v>
      </c>
      <c r="D46" t="s">
        <v>152</v>
      </c>
      <c r="E46" t="s">
        <v>37</v>
      </c>
      <c r="F46">
        <v>31</v>
      </c>
      <c r="G46" t="s">
        <v>130</v>
      </c>
      <c r="H46" t="s">
        <v>44</v>
      </c>
      <c r="I46" t="s">
        <v>15</v>
      </c>
      <c r="K46">
        <v>10</v>
      </c>
      <c r="L46" t="s">
        <v>25</v>
      </c>
      <c r="M46" t="s">
        <v>32</v>
      </c>
    </row>
    <row r="47" spans="1:13" x14ac:dyDescent="0.3">
      <c r="A47" t="s">
        <v>153</v>
      </c>
      <c r="B47" s="19">
        <v>45349</v>
      </c>
      <c r="C47" s="20">
        <v>0.86041666666666672</v>
      </c>
      <c r="D47" t="s">
        <v>154</v>
      </c>
      <c r="E47" t="s">
        <v>37</v>
      </c>
      <c r="F47">
        <v>52</v>
      </c>
      <c r="G47" t="s">
        <v>130</v>
      </c>
      <c r="H47" t="s">
        <v>44</v>
      </c>
      <c r="I47" t="s">
        <v>16</v>
      </c>
      <c r="K47">
        <v>22</v>
      </c>
      <c r="L47" t="s">
        <v>27</v>
      </c>
      <c r="M47" t="s">
        <v>32</v>
      </c>
    </row>
    <row r="48" spans="1:13" x14ac:dyDescent="0.3">
      <c r="A48" t="s">
        <v>155</v>
      </c>
      <c r="B48" s="19">
        <v>45342</v>
      </c>
      <c r="C48" s="20">
        <v>0.99791666666666667</v>
      </c>
      <c r="D48" t="s">
        <v>156</v>
      </c>
      <c r="E48" t="s">
        <v>37</v>
      </c>
      <c r="F48">
        <v>33</v>
      </c>
      <c r="G48" t="s">
        <v>130</v>
      </c>
      <c r="H48" t="s">
        <v>44</v>
      </c>
      <c r="I48" t="s">
        <v>16</v>
      </c>
      <c r="K48">
        <v>13</v>
      </c>
      <c r="L48" t="s">
        <v>25</v>
      </c>
      <c r="M48" t="s">
        <v>32</v>
      </c>
    </row>
    <row r="49" spans="1:13" x14ac:dyDescent="0.3">
      <c r="A49" t="s">
        <v>157</v>
      </c>
      <c r="B49" s="19">
        <v>45328</v>
      </c>
      <c r="C49" s="20">
        <v>0.46805555555555556</v>
      </c>
      <c r="D49" t="s">
        <v>158</v>
      </c>
      <c r="E49" t="s">
        <v>37</v>
      </c>
      <c r="F49">
        <v>59</v>
      </c>
      <c r="G49" t="s">
        <v>159</v>
      </c>
      <c r="H49" t="s">
        <v>44</v>
      </c>
      <c r="I49" t="s">
        <v>15</v>
      </c>
      <c r="K49">
        <v>16</v>
      </c>
      <c r="L49" t="s">
        <v>27</v>
      </c>
      <c r="M49" t="s">
        <v>32</v>
      </c>
    </row>
    <row r="50" spans="1:13" x14ac:dyDescent="0.3">
      <c r="A50" t="s">
        <v>160</v>
      </c>
      <c r="B50" s="19">
        <v>45332</v>
      </c>
      <c r="C50" s="20">
        <v>0.84583333333333333</v>
      </c>
      <c r="D50" t="s">
        <v>161</v>
      </c>
      <c r="E50" t="s">
        <v>36</v>
      </c>
      <c r="F50">
        <v>26</v>
      </c>
      <c r="G50" t="s">
        <v>159</v>
      </c>
      <c r="H50" t="s">
        <v>44</v>
      </c>
      <c r="I50" t="s">
        <v>16</v>
      </c>
      <c r="K50">
        <v>16</v>
      </c>
      <c r="L50" t="s">
        <v>24</v>
      </c>
      <c r="M50" t="s">
        <v>32</v>
      </c>
    </row>
    <row r="51" spans="1:13" x14ac:dyDescent="0.3">
      <c r="A51" t="s">
        <v>162</v>
      </c>
      <c r="B51" s="19">
        <v>45331</v>
      </c>
      <c r="C51" s="20">
        <v>9.930555555555555E-2</v>
      </c>
      <c r="D51" t="s">
        <v>163</v>
      </c>
      <c r="E51" t="s">
        <v>36</v>
      </c>
      <c r="F51">
        <v>22</v>
      </c>
      <c r="G51" t="s">
        <v>159</v>
      </c>
      <c r="H51" t="s">
        <v>44</v>
      </c>
      <c r="I51" t="s">
        <v>16</v>
      </c>
      <c r="K51">
        <v>22</v>
      </c>
      <c r="L51" t="s">
        <v>24</v>
      </c>
      <c r="M51" t="s">
        <v>32</v>
      </c>
    </row>
    <row r="52" spans="1:13" x14ac:dyDescent="0.3">
      <c r="A52" t="s">
        <v>164</v>
      </c>
      <c r="B52" s="19">
        <v>45330</v>
      </c>
      <c r="C52" s="20">
        <v>0.72499999999999998</v>
      </c>
      <c r="D52" t="s">
        <v>165</v>
      </c>
      <c r="E52" t="s">
        <v>36</v>
      </c>
      <c r="F52">
        <v>47</v>
      </c>
      <c r="G52" t="s">
        <v>166</v>
      </c>
      <c r="H52" t="s">
        <v>44</v>
      </c>
      <c r="I52" t="s">
        <v>15</v>
      </c>
      <c r="K52">
        <v>29</v>
      </c>
      <c r="L52" t="s">
        <v>26</v>
      </c>
      <c r="M52" t="s">
        <v>32</v>
      </c>
    </row>
    <row r="53" spans="1:13" x14ac:dyDescent="0.3">
      <c r="A53" t="s">
        <v>167</v>
      </c>
      <c r="B53" s="19">
        <v>45336</v>
      </c>
      <c r="C53" s="20">
        <v>0.81666666666666665</v>
      </c>
      <c r="D53" t="s">
        <v>168</v>
      </c>
      <c r="E53" t="s">
        <v>36</v>
      </c>
      <c r="F53">
        <v>2</v>
      </c>
      <c r="G53" t="s">
        <v>166</v>
      </c>
      <c r="H53" t="s">
        <v>44</v>
      </c>
      <c r="I53" t="s">
        <v>15</v>
      </c>
      <c r="K53">
        <v>20</v>
      </c>
      <c r="L53" t="s">
        <v>22</v>
      </c>
      <c r="M53" t="s">
        <v>32</v>
      </c>
    </row>
    <row r="54" spans="1:13" x14ac:dyDescent="0.3">
      <c r="A54" t="s">
        <v>169</v>
      </c>
      <c r="B54" s="19">
        <v>45337</v>
      </c>
      <c r="C54" s="20">
        <v>0.40208333333333335</v>
      </c>
      <c r="D54" t="s">
        <v>170</v>
      </c>
      <c r="E54" t="s">
        <v>36</v>
      </c>
      <c r="F54">
        <v>47</v>
      </c>
      <c r="G54" t="s">
        <v>166</v>
      </c>
      <c r="H54" t="s">
        <v>44</v>
      </c>
      <c r="I54" t="s">
        <v>15</v>
      </c>
      <c r="K54">
        <v>27</v>
      </c>
      <c r="L54" t="s">
        <v>26</v>
      </c>
      <c r="M54" t="s">
        <v>32</v>
      </c>
    </row>
    <row r="55" spans="1:13" x14ac:dyDescent="0.3">
      <c r="A55" t="s">
        <v>171</v>
      </c>
      <c r="B55" s="19">
        <v>45343</v>
      </c>
      <c r="C55" s="20">
        <v>0.67708333333333337</v>
      </c>
      <c r="D55" t="s">
        <v>172</v>
      </c>
      <c r="E55" t="s">
        <v>36</v>
      </c>
      <c r="F55">
        <v>67</v>
      </c>
      <c r="G55" t="s">
        <v>166</v>
      </c>
      <c r="H55" t="s">
        <v>44</v>
      </c>
      <c r="I55" t="s">
        <v>15</v>
      </c>
      <c r="K55">
        <v>16</v>
      </c>
      <c r="L55" t="s">
        <v>28</v>
      </c>
      <c r="M55" t="s">
        <v>32</v>
      </c>
    </row>
    <row r="56" spans="1:13" x14ac:dyDescent="0.3">
      <c r="A56" t="s">
        <v>173</v>
      </c>
      <c r="B56" s="19">
        <v>45338</v>
      </c>
      <c r="C56" s="20">
        <v>0.90138888888888891</v>
      </c>
      <c r="D56" t="s">
        <v>174</v>
      </c>
      <c r="E56" t="s">
        <v>37</v>
      </c>
      <c r="F56">
        <v>67</v>
      </c>
      <c r="G56" t="s">
        <v>166</v>
      </c>
      <c r="H56" t="s">
        <v>44</v>
      </c>
      <c r="I56" t="s">
        <v>15</v>
      </c>
      <c r="K56">
        <v>16</v>
      </c>
      <c r="L56" t="s">
        <v>28</v>
      </c>
      <c r="M56" t="s">
        <v>32</v>
      </c>
    </row>
    <row r="57" spans="1:13" x14ac:dyDescent="0.3">
      <c r="A57" t="s">
        <v>175</v>
      </c>
      <c r="B57" s="19">
        <v>45343</v>
      </c>
      <c r="C57" s="20">
        <v>0.66388888888888886</v>
      </c>
      <c r="D57" t="s">
        <v>176</v>
      </c>
      <c r="E57" t="s">
        <v>37</v>
      </c>
      <c r="F57">
        <v>34</v>
      </c>
      <c r="G57" t="s">
        <v>166</v>
      </c>
      <c r="H57" t="s">
        <v>44</v>
      </c>
      <c r="I57" t="s">
        <v>15</v>
      </c>
      <c r="K57">
        <v>11</v>
      </c>
      <c r="L57" t="s">
        <v>25</v>
      </c>
      <c r="M57" t="s">
        <v>32</v>
      </c>
    </row>
    <row r="58" spans="1:13" x14ac:dyDescent="0.3">
      <c r="A58" t="s">
        <v>177</v>
      </c>
      <c r="B58" s="19">
        <v>45336</v>
      </c>
      <c r="C58" s="20">
        <v>4.1666666666666666E-3</v>
      </c>
      <c r="D58" t="s">
        <v>178</v>
      </c>
      <c r="E58" t="s">
        <v>36</v>
      </c>
      <c r="F58">
        <v>78</v>
      </c>
      <c r="G58" t="s">
        <v>166</v>
      </c>
      <c r="H58" t="s">
        <v>44</v>
      </c>
      <c r="I58" t="s">
        <v>16</v>
      </c>
      <c r="K58">
        <v>20</v>
      </c>
      <c r="L58" t="s">
        <v>29</v>
      </c>
      <c r="M58" t="s">
        <v>32</v>
      </c>
    </row>
    <row r="59" spans="1:13" x14ac:dyDescent="0.3">
      <c r="A59" t="s">
        <v>179</v>
      </c>
      <c r="B59" s="19">
        <v>45349</v>
      </c>
      <c r="C59" s="20">
        <v>0.44930555555555557</v>
      </c>
      <c r="D59" t="s">
        <v>180</v>
      </c>
      <c r="E59" t="s">
        <v>36</v>
      </c>
      <c r="F59">
        <v>77</v>
      </c>
      <c r="G59" t="s">
        <v>166</v>
      </c>
      <c r="H59" t="s">
        <v>44</v>
      </c>
      <c r="I59" t="s">
        <v>16</v>
      </c>
      <c r="K59">
        <v>12</v>
      </c>
      <c r="L59" t="s">
        <v>29</v>
      </c>
      <c r="M59" t="s">
        <v>32</v>
      </c>
    </row>
    <row r="60" spans="1:13" x14ac:dyDescent="0.3">
      <c r="A60" t="s">
        <v>181</v>
      </c>
      <c r="B60" s="19">
        <v>45336</v>
      </c>
      <c r="C60" s="20">
        <v>2.6388888888888889E-2</v>
      </c>
      <c r="D60" t="s">
        <v>182</v>
      </c>
      <c r="E60" t="s">
        <v>37</v>
      </c>
      <c r="F60">
        <v>26</v>
      </c>
      <c r="G60" t="s">
        <v>166</v>
      </c>
      <c r="H60" t="s">
        <v>44</v>
      </c>
      <c r="I60" t="s">
        <v>16</v>
      </c>
      <c r="K60">
        <v>17</v>
      </c>
      <c r="L60" t="s">
        <v>24</v>
      </c>
      <c r="M60" t="s">
        <v>32</v>
      </c>
    </row>
    <row r="61" spans="1:13" x14ac:dyDescent="0.3">
      <c r="A61" t="s">
        <v>183</v>
      </c>
      <c r="B61" s="19">
        <v>45349</v>
      </c>
      <c r="C61" s="20">
        <v>0.97013888888888888</v>
      </c>
      <c r="D61" t="s">
        <v>184</v>
      </c>
      <c r="E61" t="s">
        <v>36</v>
      </c>
      <c r="F61">
        <v>13</v>
      </c>
      <c r="G61" t="s">
        <v>185</v>
      </c>
      <c r="H61" t="s">
        <v>44</v>
      </c>
      <c r="I61" t="s">
        <v>15</v>
      </c>
      <c r="K61">
        <v>16</v>
      </c>
      <c r="L61" t="s">
        <v>23</v>
      </c>
      <c r="M61" t="s">
        <v>32</v>
      </c>
    </row>
    <row r="62" spans="1:13" x14ac:dyDescent="0.3">
      <c r="A62" t="s">
        <v>186</v>
      </c>
      <c r="B62" s="19">
        <v>45334</v>
      </c>
      <c r="C62" s="20">
        <v>6.5277777777777782E-2</v>
      </c>
      <c r="D62" t="s">
        <v>187</v>
      </c>
      <c r="E62" t="s">
        <v>36</v>
      </c>
      <c r="F62">
        <v>57</v>
      </c>
      <c r="G62" t="s">
        <v>188</v>
      </c>
      <c r="H62" t="s">
        <v>44</v>
      </c>
      <c r="I62" t="s">
        <v>16</v>
      </c>
      <c r="K62">
        <v>11</v>
      </c>
      <c r="L62" t="s">
        <v>27</v>
      </c>
      <c r="M62" t="s">
        <v>32</v>
      </c>
    </row>
    <row r="63" spans="1:13" x14ac:dyDescent="0.3">
      <c r="A63" t="s">
        <v>189</v>
      </c>
      <c r="B63" s="19">
        <v>45349</v>
      </c>
      <c r="C63" s="20">
        <v>0.18680555555555556</v>
      </c>
      <c r="D63" t="s">
        <v>190</v>
      </c>
      <c r="E63" t="s">
        <v>37</v>
      </c>
      <c r="F63">
        <v>67</v>
      </c>
      <c r="G63" t="s">
        <v>188</v>
      </c>
      <c r="H63" t="s">
        <v>44</v>
      </c>
      <c r="I63" t="s">
        <v>16</v>
      </c>
      <c r="K63">
        <v>16</v>
      </c>
      <c r="L63" t="s">
        <v>28</v>
      </c>
      <c r="M63" t="s">
        <v>32</v>
      </c>
    </row>
    <row r="64" spans="1:13" x14ac:dyDescent="0.3">
      <c r="A64" t="s">
        <v>191</v>
      </c>
      <c r="B64" s="19">
        <v>45334</v>
      </c>
      <c r="C64" s="20">
        <v>2.013888888888889E-2</v>
      </c>
      <c r="D64" t="s">
        <v>192</v>
      </c>
      <c r="E64" t="s">
        <v>36</v>
      </c>
      <c r="F64">
        <v>40</v>
      </c>
      <c r="G64" t="s">
        <v>188</v>
      </c>
      <c r="H64" t="s">
        <v>44</v>
      </c>
      <c r="I64" t="s">
        <v>15</v>
      </c>
      <c r="K64">
        <v>16</v>
      </c>
      <c r="L64" t="s">
        <v>26</v>
      </c>
      <c r="M64" t="s">
        <v>32</v>
      </c>
    </row>
    <row r="65" spans="1:13" x14ac:dyDescent="0.3">
      <c r="A65" t="s">
        <v>193</v>
      </c>
      <c r="B65" s="19">
        <v>45348</v>
      </c>
      <c r="C65" s="20">
        <v>0.10069444444444445</v>
      </c>
      <c r="D65" t="s">
        <v>194</v>
      </c>
      <c r="E65" t="s">
        <v>37</v>
      </c>
      <c r="F65">
        <v>8</v>
      </c>
      <c r="G65" t="s">
        <v>188</v>
      </c>
      <c r="H65" t="s">
        <v>44</v>
      </c>
      <c r="I65" t="s">
        <v>15</v>
      </c>
      <c r="K65">
        <v>17</v>
      </c>
      <c r="L65" t="s">
        <v>22</v>
      </c>
      <c r="M65" t="s">
        <v>32</v>
      </c>
    </row>
    <row r="66" spans="1:13" x14ac:dyDescent="0.3">
      <c r="A66" t="s">
        <v>195</v>
      </c>
      <c r="B66" s="19">
        <v>45351</v>
      </c>
      <c r="C66" s="20">
        <v>5.6944444444444443E-2</v>
      </c>
      <c r="D66" t="s">
        <v>196</v>
      </c>
      <c r="E66" t="s">
        <v>37</v>
      </c>
      <c r="F66">
        <v>73</v>
      </c>
      <c r="G66" t="s">
        <v>185</v>
      </c>
      <c r="H66" t="s">
        <v>42</v>
      </c>
      <c r="I66" t="s">
        <v>15</v>
      </c>
      <c r="K66">
        <v>27</v>
      </c>
      <c r="L66" t="s">
        <v>29</v>
      </c>
      <c r="M66" t="s">
        <v>32</v>
      </c>
    </row>
    <row r="67" spans="1:13" x14ac:dyDescent="0.3">
      <c r="A67" t="s">
        <v>197</v>
      </c>
      <c r="B67" s="19">
        <v>45323</v>
      </c>
      <c r="C67" s="20">
        <v>0.27152777777777776</v>
      </c>
      <c r="D67" t="s">
        <v>198</v>
      </c>
      <c r="E67" t="s">
        <v>36</v>
      </c>
      <c r="F67">
        <v>48</v>
      </c>
      <c r="G67" t="s">
        <v>159</v>
      </c>
      <c r="H67" t="s">
        <v>42</v>
      </c>
      <c r="I67" t="s">
        <v>16</v>
      </c>
      <c r="K67">
        <v>25</v>
      </c>
      <c r="L67" t="s">
        <v>26</v>
      </c>
      <c r="M67" t="s">
        <v>32</v>
      </c>
    </row>
    <row r="68" spans="1:13" x14ac:dyDescent="0.3">
      <c r="A68" t="s">
        <v>199</v>
      </c>
      <c r="B68" s="19">
        <v>45329</v>
      </c>
      <c r="C68" s="20">
        <v>0.23402777777777778</v>
      </c>
      <c r="D68" t="s">
        <v>200</v>
      </c>
      <c r="E68" t="s">
        <v>36</v>
      </c>
      <c r="F68">
        <v>60</v>
      </c>
      <c r="G68" t="s">
        <v>166</v>
      </c>
      <c r="H68" t="s">
        <v>42</v>
      </c>
      <c r="I68" t="s">
        <v>15</v>
      </c>
      <c r="K68">
        <v>21</v>
      </c>
      <c r="L68" t="s">
        <v>28</v>
      </c>
      <c r="M68" t="s">
        <v>32</v>
      </c>
    </row>
    <row r="69" spans="1:13" x14ac:dyDescent="0.3">
      <c r="A69" t="s">
        <v>201</v>
      </c>
      <c r="B69" s="19">
        <v>45342</v>
      </c>
      <c r="C69" s="20">
        <v>0.56041666666666667</v>
      </c>
      <c r="D69" t="s">
        <v>202</v>
      </c>
      <c r="E69" t="s">
        <v>37</v>
      </c>
      <c r="F69">
        <v>70</v>
      </c>
      <c r="G69" t="s">
        <v>166</v>
      </c>
      <c r="H69" t="s">
        <v>42</v>
      </c>
      <c r="I69" t="s">
        <v>16</v>
      </c>
      <c r="K69">
        <v>18</v>
      </c>
      <c r="L69" t="s">
        <v>29</v>
      </c>
      <c r="M69" t="s">
        <v>32</v>
      </c>
    </row>
    <row r="70" spans="1:13" x14ac:dyDescent="0.3">
      <c r="A70" t="s">
        <v>203</v>
      </c>
      <c r="B70" s="19">
        <v>45337</v>
      </c>
      <c r="C70" s="20">
        <v>0.37222222222222223</v>
      </c>
      <c r="D70" t="s">
        <v>204</v>
      </c>
      <c r="E70" t="s">
        <v>37</v>
      </c>
      <c r="F70">
        <v>75</v>
      </c>
      <c r="G70" t="s">
        <v>166</v>
      </c>
      <c r="H70" t="s">
        <v>42</v>
      </c>
      <c r="I70" t="s">
        <v>15</v>
      </c>
      <c r="K70">
        <v>10</v>
      </c>
      <c r="L70" t="s">
        <v>29</v>
      </c>
      <c r="M70" t="s">
        <v>32</v>
      </c>
    </row>
    <row r="71" spans="1:13" x14ac:dyDescent="0.3">
      <c r="A71" t="s">
        <v>205</v>
      </c>
      <c r="B71" s="19">
        <v>45327</v>
      </c>
      <c r="C71" s="20">
        <v>0.8041666666666667</v>
      </c>
      <c r="D71" t="s">
        <v>206</v>
      </c>
      <c r="E71" t="s">
        <v>37</v>
      </c>
      <c r="F71">
        <v>70</v>
      </c>
      <c r="G71" t="s">
        <v>130</v>
      </c>
      <c r="H71" t="s">
        <v>42</v>
      </c>
      <c r="I71" t="s">
        <v>16</v>
      </c>
      <c r="K71">
        <v>28</v>
      </c>
      <c r="L71" t="s">
        <v>29</v>
      </c>
      <c r="M71" t="s">
        <v>32</v>
      </c>
    </row>
    <row r="72" spans="1:13" x14ac:dyDescent="0.3">
      <c r="A72" t="s">
        <v>207</v>
      </c>
      <c r="B72" s="19">
        <v>45332</v>
      </c>
      <c r="C72" s="20">
        <v>9.930555555555555E-2</v>
      </c>
      <c r="D72" t="s">
        <v>208</v>
      </c>
      <c r="E72" t="s">
        <v>37</v>
      </c>
      <c r="F72">
        <v>42</v>
      </c>
      <c r="G72" t="s">
        <v>130</v>
      </c>
      <c r="H72" t="s">
        <v>42</v>
      </c>
      <c r="I72" t="s">
        <v>15</v>
      </c>
      <c r="K72">
        <v>17</v>
      </c>
      <c r="L72" t="s">
        <v>26</v>
      </c>
      <c r="M72" t="s">
        <v>32</v>
      </c>
    </row>
    <row r="73" spans="1:13" x14ac:dyDescent="0.3">
      <c r="A73" t="s">
        <v>209</v>
      </c>
      <c r="B73" s="19">
        <v>45326</v>
      </c>
      <c r="C73" s="20">
        <v>0.54305555555555551</v>
      </c>
      <c r="D73" t="s">
        <v>210</v>
      </c>
      <c r="E73" t="s">
        <v>36</v>
      </c>
      <c r="F73">
        <v>78</v>
      </c>
      <c r="G73" t="s">
        <v>130</v>
      </c>
      <c r="H73" t="s">
        <v>42</v>
      </c>
      <c r="I73" t="s">
        <v>16</v>
      </c>
      <c r="K73">
        <v>22</v>
      </c>
      <c r="L73" t="s">
        <v>29</v>
      </c>
      <c r="M73" t="s">
        <v>32</v>
      </c>
    </row>
    <row r="74" spans="1:13" x14ac:dyDescent="0.3">
      <c r="A74" t="s">
        <v>211</v>
      </c>
      <c r="B74" s="19">
        <v>45333</v>
      </c>
      <c r="C74" s="20">
        <v>0.50138888888888888</v>
      </c>
      <c r="D74" t="s">
        <v>212</v>
      </c>
      <c r="E74" t="s">
        <v>36</v>
      </c>
      <c r="F74">
        <v>8</v>
      </c>
      <c r="G74" t="s">
        <v>130</v>
      </c>
      <c r="H74" t="s">
        <v>42</v>
      </c>
      <c r="I74" t="s">
        <v>16</v>
      </c>
      <c r="K74">
        <v>26</v>
      </c>
      <c r="L74" t="s">
        <v>22</v>
      </c>
      <c r="M74" t="s">
        <v>32</v>
      </c>
    </row>
    <row r="75" spans="1:13" x14ac:dyDescent="0.3">
      <c r="A75" t="s">
        <v>213</v>
      </c>
      <c r="B75" s="19">
        <v>45343</v>
      </c>
      <c r="C75" s="20">
        <v>0.58125000000000004</v>
      </c>
      <c r="D75" t="s">
        <v>214</v>
      </c>
      <c r="E75" t="s">
        <v>36</v>
      </c>
      <c r="F75">
        <v>19</v>
      </c>
      <c r="G75" t="s">
        <v>130</v>
      </c>
      <c r="H75" t="s">
        <v>42</v>
      </c>
      <c r="I75" t="s">
        <v>16</v>
      </c>
      <c r="K75">
        <v>24</v>
      </c>
      <c r="L75" t="s">
        <v>23</v>
      </c>
      <c r="M75" t="s">
        <v>32</v>
      </c>
    </row>
    <row r="76" spans="1:13" x14ac:dyDescent="0.3">
      <c r="A76" t="s">
        <v>215</v>
      </c>
      <c r="B76" s="19">
        <v>45336</v>
      </c>
      <c r="C76" s="20">
        <v>8.6805555555555552E-2</v>
      </c>
      <c r="D76" t="s">
        <v>216</v>
      </c>
      <c r="E76" t="s">
        <v>36</v>
      </c>
      <c r="F76">
        <v>78</v>
      </c>
      <c r="G76" t="s">
        <v>130</v>
      </c>
      <c r="H76" t="s">
        <v>42</v>
      </c>
      <c r="I76" t="s">
        <v>16</v>
      </c>
      <c r="K76">
        <v>14</v>
      </c>
      <c r="L76" t="s">
        <v>29</v>
      </c>
      <c r="M76" t="s">
        <v>32</v>
      </c>
    </row>
    <row r="77" spans="1:13" x14ac:dyDescent="0.3">
      <c r="A77" t="s">
        <v>217</v>
      </c>
      <c r="B77" s="19">
        <v>45330</v>
      </c>
      <c r="C77" s="20">
        <v>4.583333333333333E-2</v>
      </c>
      <c r="D77" t="s">
        <v>218</v>
      </c>
      <c r="E77" t="s">
        <v>36</v>
      </c>
      <c r="F77">
        <v>45</v>
      </c>
      <c r="G77" t="s">
        <v>103</v>
      </c>
      <c r="H77" t="s">
        <v>42</v>
      </c>
      <c r="I77" t="s">
        <v>16</v>
      </c>
      <c r="K77">
        <v>18</v>
      </c>
      <c r="L77" t="s">
        <v>26</v>
      </c>
      <c r="M77" t="s">
        <v>32</v>
      </c>
    </row>
    <row r="78" spans="1:13" x14ac:dyDescent="0.3">
      <c r="A78" t="s">
        <v>219</v>
      </c>
      <c r="B78" s="19">
        <v>45326</v>
      </c>
      <c r="C78" s="20">
        <v>0.57847222222222228</v>
      </c>
      <c r="D78" t="s">
        <v>220</v>
      </c>
      <c r="E78" t="s">
        <v>37</v>
      </c>
      <c r="F78">
        <v>15</v>
      </c>
      <c r="G78" t="s">
        <v>103</v>
      </c>
      <c r="H78" t="s">
        <v>42</v>
      </c>
      <c r="I78" t="s">
        <v>15</v>
      </c>
      <c r="K78">
        <v>16</v>
      </c>
      <c r="L78" t="s">
        <v>23</v>
      </c>
      <c r="M78" t="s">
        <v>32</v>
      </c>
    </row>
    <row r="79" spans="1:13" x14ac:dyDescent="0.3">
      <c r="A79" t="s">
        <v>221</v>
      </c>
      <c r="B79" s="19">
        <v>45347</v>
      </c>
      <c r="C79" s="20">
        <v>4.6527777777777779E-2</v>
      </c>
      <c r="D79" t="s">
        <v>222</v>
      </c>
      <c r="E79" t="s">
        <v>37</v>
      </c>
      <c r="F79">
        <v>18</v>
      </c>
      <c r="G79" t="s">
        <v>103</v>
      </c>
      <c r="H79" t="s">
        <v>42</v>
      </c>
      <c r="I79" t="s">
        <v>15</v>
      </c>
      <c r="K79">
        <v>13</v>
      </c>
      <c r="L79" t="s">
        <v>23</v>
      </c>
      <c r="M79" t="s">
        <v>32</v>
      </c>
    </row>
    <row r="80" spans="1:13" x14ac:dyDescent="0.3">
      <c r="A80" t="s">
        <v>223</v>
      </c>
      <c r="B80" s="19">
        <v>45323</v>
      </c>
      <c r="C80" s="20">
        <v>0.29236111111111113</v>
      </c>
      <c r="D80" t="s">
        <v>224</v>
      </c>
      <c r="E80" t="s">
        <v>37</v>
      </c>
      <c r="F80">
        <v>26</v>
      </c>
      <c r="G80" t="s">
        <v>103</v>
      </c>
      <c r="H80" t="s">
        <v>42</v>
      </c>
      <c r="I80" t="s">
        <v>15</v>
      </c>
      <c r="K80">
        <v>12</v>
      </c>
      <c r="L80" t="s">
        <v>24</v>
      </c>
      <c r="M80" t="s">
        <v>32</v>
      </c>
    </row>
    <row r="81" spans="1:13" x14ac:dyDescent="0.3">
      <c r="A81" t="s">
        <v>225</v>
      </c>
      <c r="B81" s="19">
        <v>45337</v>
      </c>
      <c r="C81" s="20">
        <v>0.87708333333333333</v>
      </c>
      <c r="D81" t="s">
        <v>226</v>
      </c>
      <c r="E81" t="s">
        <v>37</v>
      </c>
      <c r="F81">
        <v>11</v>
      </c>
      <c r="G81" t="s">
        <v>103</v>
      </c>
      <c r="H81" t="s">
        <v>42</v>
      </c>
      <c r="I81" t="s">
        <v>15</v>
      </c>
      <c r="K81">
        <v>22</v>
      </c>
      <c r="L81" t="s">
        <v>23</v>
      </c>
      <c r="M81" t="s">
        <v>32</v>
      </c>
    </row>
    <row r="82" spans="1:13" x14ac:dyDescent="0.3">
      <c r="A82" t="s">
        <v>227</v>
      </c>
      <c r="B82" s="19">
        <v>45349</v>
      </c>
      <c r="C82" s="20">
        <v>0.2076388888888889</v>
      </c>
      <c r="D82" t="s">
        <v>228</v>
      </c>
      <c r="E82" t="s">
        <v>36</v>
      </c>
      <c r="F82">
        <v>48</v>
      </c>
      <c r="G82" t="s">
        <v>66</v>
      </c>
      <c r="H82" t="s">
        <v>42</v>
      </c>
      <c r="I82" t="s">
        <v>15</v>
      </c>
      <c r="K82">
        <v>10</v>
      </c>
      <c r="L82" t="s">
        <v>26</v>
      </c>
      <c r="M82" t="s">
        <v>32</v>
      </c>
    </row>
    <row r="83" spans="1:13" x14ac:dyDescent="0.3">
      <c r="A83" t="s">
        <v>229</v>
      </c>
      <c r="B83" s="19">
        <v>45332</v>
      </c>
      <c r="C83" s="20">
        <v>0.81388888888888888</v>
      </c>
      <c r="D83" t="s">
        <v>230</v>
      </c>
      <c r="E83" t="s">
        <v>36</v>
      </c>
      <c r="F83">
        <v>73</v>
      </c>
      <c r="G83" t="s">
        <v>66</v>
      </c>
      <c r="H83" t="s">
        <v>42</v>
      </c>
      <c r="I83" t="s">
        <v>15</v>
      </c>
      <c r="K83">
        <v>14</v>
      </c>
      <c r="L83" t="s">
        <v>29</v>
      </c>
      <c r="M83" t="s">
        <v>32</v>
      </c>
    </row>
    <row r="84" spans="1:13" x14ac:dyDescent="0.3">
      <c r="A84" t="s">
        <v>231</v>
      </c>
      <c r="B84" s="19">
        <v>45330</v>
      </c>
      <c r="C84" s="20">
        <v>0.44444444444444442</v>
      </c>
      <c r="D84" t="s">
        <v>232</v>
      </c>
      <c r="E84" t="s">
        <v>37</v>
      </c>
      <c r="F84">
        <v>7</v>
      </c>
      <c r="G84" t="s">
        <v>66</v>
      </c>
      <c r="H84" t="s">
        <v>42</v>
      </c>
      <c r="I84" t="s">
        <v>15</v>
      </c>
      <c r="K84">
        <v>29</v>
      </c>
      <c r="L84" t="s">
        <v>22</v>
      </c>
      <c r="M84" t="s">
        <v>32</v>
      </c>
    </row>
    <row r="85" spans="1:13" x14ac:dyDescent="0.3">
      <c r="A85" t="s">
        <v>233</v>
      </c>
      <c r="B85" s="19">
        <v>45347</v>
      </c>
      <c r="C85" s="20">
        <v>0.96180555555555558</v>
      </c>
      <c r="D85" t="s">
        <v>234</v>
      </c>
      <c r="E85" t="s">
        <v>36</v>
      </c>
      <c r="F85">
        <v>63</v>
      </c>
      <c r="G85" t="s">
        <v>66</v>
      </c>
      <c r="H85" t="s">
        <v>42</v>
      </c>
      <c r="I85" t="s">
        <v>16</v>
      </c>
      <c r="K85">
        <v>26</v>
      </c>
      <c r="L85" t="s">
        <v>28</v>
      </c>
      <c r="M85" t="s">
        <v>32</v>
      </c>
    </row>
    <row r="86" spans="1:13" x14ac:dyDescent="0.3">
      <c r="A86" t="s">
        <v>235</v>
      </c>
      <c r="B86" s="19">
        <v>45342</v>
      </c>
      <c r="C86" s="20">
        <v>0.94166666666666665</v>
      </c>
      <c r="D86" t="s">
        <v>236</v>
      </c>
      <c r="E86" t="s">
        <v>37</v>
      </c>
      <c r="F86">
        <v>58</v>
      </c>
      <c r="G86" t="s">
        <v>66</v>
      </c>
      <c r="H86" t="s">
        <v>42</v>
      </c>
      <c r="I86" t="s">
        <v>16</v>
      </c>
      <c r="K86">
        <v>14</v>
      </c>
      <c r="L86" t="s">
        <v>27</v>
      </c>
      <c r="M86" t="s">
        <v>32</v>
      </c>
    </row>
    <row r="87" spans="1:13" x14ac:dyDescent="0.3">
      <c r="A87" t="s">
        <v>237</v>
      </c>
      <c r="B87" s="19">
        <v>45333</v>
      </c>
      <c r="C87" s="20">
        <v>0.75763888888888886</v>
      </c>
      <c r="D87" t="s">
        <v>238</v>
      </c>
      <c r="E87" t="s">
        <v>37</v>
      </c>
      <c r="F87">
        <v>33</v>
      </c>
      <c r="G87" t="s">
        <v>66</v>
      </c>
      <c r="H87" t="s">
        <v>42</v>
      </c>
      <c r="I87" t="s">
        <v>16</v>
      </c>
      <c r="K87">
        <v>24</v>
      </c>
      <c r="L87" t="s">
        <v>25</v>
      </c>
      <c r="M87" t="s">
        <v>32</v>
      </c>
    </row>
    <row r="88" spans="1:13" x14ac:dyDescent="0.3">
      <c r="A88" t="s">
        <v>239</v>
      </c>
      <c r="B88" s="19">
        <v>45348</v>
      </c>
      <c r="C88" s="20">
        <v>0.78472222222222221</v>
      </c>
      <c r="D88" t="s">
        <v>240</v>
      </c>
      <c r="E88" t="s">
        <v>37</v>
      </c>
      <c r="F88">
        <v>43</v>
      </c>
      <c r="G88" t="s">
        <v>66</v>
      </c>
      <c r="H88" t="s">
        <v>45</v>
      </c>
      <c r="I88" t="s">
        <v>16</v>
      </c>
      <c r="K88">
        <v>11</v>
      </c>
      <c r="L88" t="s">
        <v>26</v>
      </c>
      <c r="M88" t="s">
        <v>32</v>
      </c>
    </row>
    <row r="89" spans="1:13" x14ac:dyDescent="0.3">
      <c r="A89" t="s">
        <v>241</v>
      </c>
      <c r="B89" s="19">
        <v>45334</v>
      </c>
      <c r="C89" s="20">
        <v>0.83611111111111114</v>
      </c>
      <c r="D89" t="s">
        <v>242</v>
      </c>
      <c r="E89" t="s">
        <v>37</v>
      </c>
      <c r="F89">
        <v>65</v>
      </c>
      <c r="G89" t="s">
        <v>66</v>
      </c>
      <c r="H89" t="s">
        <v>45</v>
      </c>
      <c r="I89" t="s">
        <v>16</v>
      </c>
      <c r="K89">
        <v>14</v>
      </c>
      <c r="L89" t="s">
        <v>28</v>
      </c>
      <c r="M89" t="s">
        <v>32</v>
      </c>
    </row>
    <row r="90" spans="1:13" x14ac:dyDescent="0.3">
      <c r="A90" t="s">
        <v>243</v>
      </c>
      <c r="B90" s="19">
        <v>45330</v>
      </c>
      <c r="C90" s="20">
        <v>0.77013888888888893</v>
      </c>
      <c r="D90" t="s">
        <v>244</v>
      </c>
      <c r="E90" t="s">
        <v>37</v>
      </c>
      <c r="F90">
        <v>44</v>
      </c>
      <c r="G90" t="s">
        <v>66</v>
      </c>
      <c r="H90" t="s">
        <v>45</v>
      </c>
      <c r="I90" t="s">
        <v>15</v>
      </c>
      <c r="K90">
        <v>19</v>
      </c>
      <c r="L90" t="s">
        <v>26</v>
      </c>
      <c r="M90" t="s">
        <v>32</v>
      </c>
    </row>
    <row r="91" spans="1:13" x14ac:dyDescent="0.3">
      <c r="A91" t="s">
        <v>245</v>
      </c>
      <c r="B91" s="19">
        <v>45336</v>
      </c>
      <c r="C91" s="20">
        <v>0.99097222222222225</v>
      </c>
      <c r="D91" t="s">
        <v>246</v>
      </c>
      <c r="E91" t="s">
        <v>36</v>
      </c>
      <c r="F91">
        <v>25</v>
      </c>
      <c r="G91" t="s">
        <v>66</v>
      </c>
      <c r="H91" t="s">
        <v>45</v>
      </c>
      <c r="I91" t="s">
        <v>15</v>
      </c>
      <c r="K91">
        <v>20</v>
      </c>
      <c r="L91" t="s">
        <v>24</v>
      </c>
      <c r="M91" t="s">
        <v>32</v>
      </c>
    </row>
    <row r="92" spans="1:13" x14ac:dyDescent="0.3">
      <c r="A92" t="s">
        <v>247</v>
      </c>
      <c r="B92" s="19">
        <v>45332</v>
      </c>
      <c r="C92" s="20">
        <v>0.47430555555555554</v>
      </c>
      <c r="D92" t="s">
        <v>248</v>
      </c>
      <c r="E92" t="s">
        <v>36</v>
      </c>
      <c r="F92">
        <v>58</v>
      </c>
      <c r="G92" t="s">
        <v>66</v>
      </c>
      <c r="H92" t="s">
        <v>45</v>
      </c>
      <c r="I92" t="s">
        <v>15</v>
      </c>
      <c r="K92">
        <v>19</v>
      </c>
      <c r="L92" t="s">
        <v>27</v>
      </c>
      <c r="M92" t="s">
        <v>32</v>
      </c>
    </row>
    <row r="93" spans="1:13" x14ac:dyDescent="0.3">
      <c r="A93" t="s">
        <v>249</v>
      </c>
      <c r="B93" s="19">
        <v>45330</v>
      </c>
      <c r="C93" s="20">
        <v>0.92222222222222228</v>
      </c>
      <c r="D93" t="s">
        <v>250</v>
      </c>
      <c r="E93" t="s">
        <v>36</v>
      </c>
      <c r="F93">
        <v>40</v>
      </c>
      <c r="G93" t="s">
        <v>66</v>
      </c>
      <c r="H93" t="s">
        <v>45</v>
      </c>
      <c r="I93" t="s">
        <v>15</v>
      </c>
      <c r="K93">
        <v>19</v>
      </c>
      <c r="L93" t="s">
        <v>26</v>
      </c>
      <c r="M93" t="s">
        <v>32</v>
      </c>
    </row>
    <row r="94" spans="1:13" x14ac:dyDescent="0.3">
      <c r="A94" t="s">
        <v>251</v>
      </c>
      <c r="B94" s="19">
        <v>45347</v>
      </c>
      <c r="C94" s="20">
        <v>0.24027777777777778</v>
      </c>
      <c r="D94" t="s">
        <v>252</v>
      </c>
      <c r="E94" t="s">
        <v>37</v>
      </c>
      <c r="F94">
        <v>24</v>
      </c>
      <c r="G94" t="s">
        <v>66</v>
      </c>
      <c r="H94" t="s">
        <v>45</v>
      </c>
      <c r="I94" t="s">
        <v>15</v>
      </c>
      <c r="K94">
        <v>20</v>
      </c>
      <c r="L94" t="s">
        <v>24</v>
      </c>
      <c r="M94" t="s">
        <v>32</v>
      </c>
    </row>
    <row r="95" spans="1:13" x14ac:dyDescent="0.3">
      <c r="A95" t="s">
        <v>253</v>
      </c>
      <c r="B95" s="19">
        <v>45329</v>
      </c>
      <c r="C95" s="20">
        <v>0.5083333333333333</v>
      </c>
      <c r="D95" t="s">
        <v>254</v>
      </c>
      <c r="E95" t="s">
        <v>37</v>
      </c>
      <c r="F95">
        <v>79</v>
      </c>
      <c r="G95" t="s">
        <v>66</v>
      </c>
      <c r="H95" t="s">
        <v>45</v>
      </c>
      <c r="I95" t="s">
        <v>15</v>
      </c>
      <c r="K95">
        <v>12</v>
      </c>
      <c r="L95" t="s">
        <v>29</v>
      </c>
      <c r="M95" t="s">
        <v>32</v>
      </c>
    </row>
    <row r="96" spans="1:13" x14ac:dyDescent="0.3">
      <c r="A96" t="s">
        <v>255</v>
      </c>
      <c r="B96" s="19">
        <v>45333</v>
      </c>
      <c r="C96" s="20">
        <v>6.3888888888888884E-2</v>
      </c>
      <c r="D96" t="s">
        <v>256</v>
      </c>
      <c r="E96" t="s">
        <v>36</v>
      </c>
      <c r="F96">
        <v>46</v>
      </c>
      <c r="G96" t="s">
        <v>103</v>
      </c>
      <c r="H96" t="s">
        <v>45</v>
      </c>
      <c r="I96" t="s">
        <v>15</v>
      </c>
      <c r="K96">
        <v>12</v>
      </c>
      <c r="L96" t="s">
        <v>26</v>
      </c>
      <c r="M96" t="s">
        <v>32</v>
      </c>
    </row>
    <row r="97" spans="1:13" x14ac:dyDescent="0.3">
      <c r="A97" t="s">
        <v>257</v>
      </c>
      <c r="B97" s="19">
        <v>45347</v>
      </c>
      <c r="C97" s="20">
        <v>0.62638888888888888</v>
      </c>
      <c r="D97" t="s">
        <v>258</v>
      </c>
      <c r="E97" t="s">
        <v>36</v>
      </c>
      <c r="F97">
        <v>65</v>
      </c>
      <c r="G97" t="s">
        <v>103</v>
      </c>
      <c r="H97" t="s">
        <v>45</v>
      </c>
      <c r="I97" t="s">
        <v>16</v>
      </c>
      <c r="K97">
        <v>29</v>
      </c>
      <c r="L97" t="s">
        <v>28</v>
      </c>
      <c r="M97" t="s">
        <v>32</v>
      </c>
    </row>
    <row r="98" spans="1:13" x14ac:dyDescent="0.3">
      <c r="A98" t="s">
        <v>259</v>
      </c>
      <c r="B98" s="19">
        <v>45325</v>
      </c>
      <c r="C98" s="20">
        <v>0.44166666666666665</v>
      </c>
      <c r="D98" t="s">
        <v>260</v>
      </c>
      <c r="E98" t="s">
        <v>36</v>
      </c>
      <c r="F98">
        <v>54</v>
      </c>
      <c r="G98" t="s">
        <v>103</v>
      </c>
      <c r="H98" t="s">
        <v>45</v>
      </c>
      <c r="I98" t="s">
        <v>16</v>
      </c>
      <c r="K98">
        <v>19</v>
      </c>
      <c r="L98" t="s">
        <v>27</v>
      </c>
      <c r="M98" t="s">
        <v>32</v>
      </c>
    </row>
    <row r="99" spans="1:13" x14ac:dyDescent="0.3">
      <c r="A99" t="s">
        <v>261</v>
      </c>
      <c r="B99" s="19">
        <v>45348</v>
      </c>
      <c r="C99" s="20">
        <v>0.6645833333333333</v>
      </c>
      <c r="D99" t="s">
        <v>262</v>
      </c>
      <c r="E99" t="s">
        <v>36</v>
      </c>
      <c r="F99">
        <v>1</v>
      </c>
      <c r="G99" t="s">
        <v>103</v>
      </c>
      <c r="H99" t="s">
        <v>45</v>
      </c>
      <c r="I99" t="s">
        <v>15</v>
      </c>
      <c r="K99">
        <v>27</v>
      </c>
      <c r="L99" t="s">
        <v>22</v>
      </c>
      <c r="M99" t="s">
        <v>32</v>
      </c>
    </row>
    <row r="100" spans="1:13" x14ac:dyDescent="0.3">
      <c r="A100" t="s">
        <v>263</v>
      </c>
      <c r="B100" s="19">
        <v>45326</v>
      </c>
      <c r="C100" s="20">
        <v>0.29166666666666669</v>
      </c>
      <c r="D100" t="s">
        <v>264</v>
      </c>
      <c r="E100" t="s">
        <v>37</v>
      </c>
      <c r="F100">
        <v>24</v>
      </c>
      <c r="G100" t="s">
        <v>130</v>
      </c>
      <c r="H100" t="s">
        <v>45</v>
      </c>
      <c r="I100" t="s">
        <v>16</v>
      </c>
      <c r="K100">
        <v>30</v>
      </c>
      <c r="L100" t="s">
        <v>24</v>
      </c>
      <c r="M100" t="s">
        <v>32</v>
      </c>
    </row>
    <row r="101" spans="1:13" x14ac:dyDescent="0.3">
      <c r="A101" t="s">
        <v>265</v>
      </c>
      <c r="B101" s="19">
        <v>45332</v>
      </c>
      <c r="C101" s="20">
        <v>0.20972222222222223</v>
      </c>
      <c r="D101" t="s">
        <v>266</v>
      </c>
      <c r="E101" t="s">
        <v>36</v>
      </c>
      <c r="F101">
        <v>71</v>
      </c>
      <c r="G101" t="s">
        <v>166</v>
      </c>
      <c r="H101" t="s">
        <v>45</v>
      </c>
      <c r="I101" t="s">
        <v>15</v>
      </c>
      <c r="K101">
        <v>29</v>
      </c>
      <c r="L101" t="s">
        <v>29</v>
      </c>
      <c r="M101" t="s">
        <v>32</v>
      </c>
    </row>
    <row r="102" spans="1:13" x14ac:dyDescent="0.3">
      <c r="A102" t="s">
        <v>267</v>
      </c>
      <c r="B102" s="19">
        <v>45341</v>
      </c>
      <c r="C102" s="20">
        <v>0.16319444444444445</v>
      </c>
      <c r="D102" t="s">
        <v>268</v>
      </c>
      <c r="E102" t="s">
        <v>36</v>
      </c>
      <c r="F102">
        <v>54</v>
      </c>
      <c r="G102" t="s">
        <v>188</v>
      </c>
      <c r="H102" t="s">
        <v>45</v>
      </c>
      <c r="I102" t="s">
        <v>15</v>
      </c>
      <c r="K102">
        <v>15</v>
      </c>
      <c r="L102" t="s">
        <v>27</v>
      </c>
      <c r="M102" t="s">
        <v>32</v>
      </c>
    </row>
    <row r="103" spans="1:13" x14ac:dyDescent="0.3">
      <c r="A103" t="s">
        <v>269</v>
      </c>
      <c r="B103" s="19">
        <v>45343</v>
      </c>
      <c r="C103" s="20">
        <v>0.12013888888888889</v>
      </c>
      <c r="D103" t="s">
        <v>270</v>
      </c>
      <c r="E103" t="s">
        <v>36</v>
      </c>
      <c r="F103">
        <v>60</v>
      </c>
      <c r="G103" t="s">
        <v>130</v>
      </c>
      <c r="H103" t="s">
        <v>46</v>
      </c>
      <c r="I103" t="s">
        <v>15</v>
      </c>
      <c r="K103">
        <v>21</v>
      </c>
      <c r="L103" t="s">
        <v>28</v>
      </c>
      <c r="M103" t="s">
        <v>32</v>
      </c>
    </row>
    <row r="104" spans="1:13" x14ac:dyDescent="0.3">
      <c r="A104" t="s">
        <v>271</v>
      </c>
      <c r="B104" s="19">
        <v>45343</v>
      </c>
      <c r="C104" s="20">
        <v>0.8618055555555556</v>
      </c>
      <c r="D104" t="s">
        <v>272</v>
      </c>
      <c r="E104" t="s">
        <v>37</v>
      </c>
      <c r="F104">
        <v>36</v>
      </c>
      <c r="G104" t="s">
        <v>103</v>
      </c>
      <c r="H104" t="s">
        <v>40</v>
      </c>
      <c r="I104" t="s">
        <v>15</v>
      </c>
      <c r="K104">
        <v>24</v>
      </c>
      <c r="L104" t="s">
        <v>25</v>
      </c>
      <c r="M104" t="s">
        <v>32</v>
      </c>
    </row>
    <row r="105" spans="1:13" x14ac:dyDescent="0.3">
      <c r="A105" t="s">
        <v>273</v>
      </c>
      <c r="B105" s="19">
        <v>45348</v>
      </c>
      <c r="C105" s="20">
        <v>0.76458333333333328</v>
      </c>
      <c r="D105" t="s">
        <v>274</v>
      </c>
      <c r="E105" t="s">
        <v>37</v>
      </c>
      <c r="F105">
        <v>43</v>
      </c>
      <c r="G105" t="s">
        <v>103</v>
      </c>
      <c r="H105" t="s">
        <v>40</v>
      </c>
      <c r="I105" t="s">
        <v>15</v>
      </c>
      <c r="K105">
        <v>27</v>
      </c>
      <c r="L105" t="s">
        <v>26</v>
      </c>
      <c r="M105" t="s">
        <v>32</v>
      </c>
    </row>
    <row r="106" spans="1:13" x14ac:dyDescent="0.3">
      <c r="A106" t="s">
        <v>275</v>
      </c>
      <c r="B106" s="19">
        <v>45338</v>
      </c>
      <c r="C106" s="20">
        <v>0.90625</v>
      </c>
      <c r="D106" t="s">
        <v>276</v>
      </c>
      <c r="E106" t="s">
        <v>37</v>
      </c>
      <c r="F106">
        <v>31</v>
      </c>
      <c r="G106" t="s">
        <v>66</v>
      </c>
      <c r="H106" t="s">
        <v>40</v>
      </c>
      <c r="I106" t="s">
        <v>15</v>
      </c>
      <c r="K106">
        <v>29</v>
      </c>
      <c r="L106" t="s">
        <v>25</v>
      </c>
      <c r="M106" t="s">
        <v>32</v>
      </c>
    </row>
    <row r="107" spans="1:13" x14ac:dyDescent="0.3">
      <c r="A107" t="s">
        <v>277</v>
      </c>
      <c r="B107" s="19">
        <v>45339</v>
      </c>
      <c r="C107" s="20">
        <v>0.98472222222222228</v>
      </c>
      <c r="D107" t="s">
        <v>278</v>
      </c>
      <c r="E107" t="s">
        <v>37</v>
      </c>
      <c r="F107">
        <v>41</v>
      </c>
      <c r="G107" t="s">
        <v>103</v>
      </c>
      <c r="H107" t="s">
        <v>43</v>
      </c>
      <c r="I107" t="s">
        <v>15</v>
      </c>
      <c r="K107">
        <v>23</v>
      </c>
      <c r="L107" t="s">
        <v>26</v>
      </c>
      <c r="M107" t="s">
        <v>32</v>
      </c>
    </row>
    <row r="108" spans="1:13" x14ac:dyDescent="0.3">
      <c r="A108" t="s">
        <v>279</v>
      </c>
      <c r="B108" s="19">
        <v>45340</v>
      </c>
      <c r="C108" s="20">
        <v>0.17152777777777778</v>
      </c>
      <c r="D108" t="s">
        <v>280</v>
      </c>
      <c r="E108" t="s">
        <v>36</v>
      </c>
      <c r="F108">
        <v>22</v>
      </c>
      <c r="G108" t="s">
        <v>185</v>
      </c>
      <c r="H108" t="s">
        <v>41</v>
      </c>
      <c r="I108" t="s">
        <v>16</v>
      </c>
      <c r="K108">
        <v>13</v>
      </c>
      <c r="L108" t="s">
        <v>24</v>
      </c>
      <c r="M108" t="s">
        <v>32</v>
      </c>
    </row>
    <row r="109" spans="1:13" x14ac:dyDescent="0.3">
      <c r="A109" t="s">
        <v>281</v>
      </c>
      <c r="B109" s="19">
        <v>45335</v>
      </c>
      <c r="C109" s="20">
        <v>0.85833333333333328</v>
      </c>
      <c r="D109" t="s">
        <v>282</v>
      </c>
      <c r="E109" t="s">
        <v>37</v>
      </c>
      <c r="F109">
        <v>70</v>
      </c>
      <c r="G109" t="s">
        <v>159</v>
      </c>
      <c r="H109" t="s">
        <v>47</v>
      </c>
      <c r="I109" t="s">
        <v>16</v>
      </c>
      <c r="K109">
        <v>23</v>
      </c>
      <c r="L109" t="s">
        <v>29</v>
      </c>
      <c r="M109" t="s">
        <v>32</v>
      </c>
    </row>
    <row r="110" spans="1:13" x14ac:dyDescent="0.3">
      <c r="A110" t="s">
        <v>283</v>
      </c>
      <c r="B110" s="19">
        <v>45342</v>
      </c>
      <c r="C110" s="20">
        <v>0.85833333333333328</v>
      </c>
      <c r="D110" t="s">
        <v>284</v>
      </c>
      <c r="E110" t="s">
        <v>37</v>
      </c>
      <c r="F110">
        <v>19</v>
      </c>
      <c r="G110" t="s">
        <v>130</v>
      </c>
      <c r="H110" t="s">
        <v>47</v>
      </c>
      <c r="I110" t="s">
        <v>16</v>
      </c>
      <c r="K110">
        <v>24</v>
      </c>
      <c r="L110" t="s">
        <v>23</v>
      </c>
      <c r="M110" t="s">
        <v>32</v>
      </c>
    </row>
    <row r="111" spans="1:13" x14ac:dyDescent="0.3">
      <c r="A111" t="s">
        <v>285</v>
      </c>
      <c r="B111" s="19">
        <v>45340</v>
      </c>
      <c r="C111" s="20">
        <v>0.84861111111111109</v>
      </c>
      <c r="D111" t="s">
        <v>286</v>
      </c>
      <c r="E111" t="s">
        <v>36</v>
      </c>
      <c r="F111">
        <v>13</v>
      </c>
      <c r="G111" t="s">
        <v>166</v>
      </c>
      <c r="H111" t="s">
        <v>47</v>
      </c>
      <c r="I111" t="s">
        <v>15</v>
      </c>
      <c r="K111">
        <v>27</v>
      </c>
      <c r="L111" t="s">
        <v>23</v>
      </c>
      <c r="M111" t="s">
        <v>32</v>
      </c>
    </row>
    <row r="112" spans="1:13" x14ac:dyDescent="0.3">
      <c r="A112" t="s">
        <v>287</v>
      </c>
      <c r="B112" s="19">
        <v>45346</v>
      </c>
      <c r="C112" s="20">
        <v>0.21180555555555555</v>
      </c>
      <c r="D112" t="s">
        <v>288</v>
      </c>
      <c r="E112" t="s">
        <v>36</v>
      </c>
      <c r="F112">
        <v>43</v>
      </c>
      <c r="G112" t="s">
        <v>166</v>
      </c>
      <c r="H112" t="s">
        <v>47</v>
      </c>
      <c r="I112" t="s">
        <v>15</v>
      </c>
      <c r="K112">
        <v>14</v>
      </c>
      <c r="L112" t="s">
        <v>26</v>
      </c>
      <c r="M112" t="s">
        <v>32</v>
      </c>
    </row>
    <row r="113" spans="1:13" x14ac:dyDescent="0.3">
      <c r="A113" t="s">
        <v>289</v>
      </c>
      <c r="B113" s="19">
        <v>45342</v>
      </c>
      <c r="C113" s="20">
        <v>0.40694444444444444</v>
      </c>
      <c r="D113" t="s">
        <v>290</v>
      </c>
      <c r="E113" t="s">
        <v>37</v>
      </c>
      <c r="F113">
        <v>7</v>
      </c>
      <c r="G113" t="s">
        <v>130</v>
      </c>
      <c r="H113" t="s">
        <v>46</v>
      </c>
      <c r="I113" t="s">
        <v>16</v>
      </c>
      <c r="J113">
        <v>8</v>
      </c>
      <c r="K113">
        <v>29</v>
      </c>
      <c r="L113" t="s">
        <v>22</v>
      </c>
      <c r="M113" t="s">
        <v>32</v>
      </c>
    </row>
    <row r="114" spans="1:13" x14ac:dyDescent="0.3">
      <c r="A114" t="s">
        <v>291</v>
      </c>
      <c r="B114" s="19">
        <v>45327</v>
      </c>
      <c r="C114" s="20">
        <v>0.32013888888888886</v>
      </c>
      <c r="D114" t="s">
        <v>292</v>
      </c>
      <c r="E114" t="s">
        <v>36</v>
      </c>
      <c r="F114">
        <v>32</v>
      </c>
      <c r="G114" t="s">
        <v>159</v>
      </c>
      <c r="H114" t="s">
        <v>40</v>
      </c>
      <c r="I114" t="s">
        <v>16</v>
      </c>
      <c r="J114">
        <v>1</v>
      </c>
      <c r="K114">
        <v>11</v>
      </c>
      <c r="L114" t="s">
        <v>25</v>
      </c>
      <c r="M114" t="s">
        <v>32</v>
      </c>
    </row>
    <row r="115" spans="1:13" x14ac:dyDescent="0.3">
      <c r="A115" t="s">
        <v>293</v>
      </c>
      <c r="B115" s="19">
        <v>45330</v>
      </c>
      <c r="C115" s="20">
        <v>0.8930555555555556</v>
      </c>
      <c r="D115" t="s">
        <v>294</v>
      </c>
      <c r="E115" t="s">
        <v>36</v>
      </c>
      <c r="F115">
        <v>76</v>
      </c>
      <c r="G115" t="s">
        <v>130</v>
      </c>
      <c r="H115" t="s">
        <v>41</v>
      </c>
      <c r="I115" t="s">
        <v>16</v>
      </c>
      <c r="J115">
        <v>3</v>
      </c>
      <c r="K115">
        <v>15</v>
      </c>
      <c r="L115" t="s">
        <v>29</v>
      </c>
      <c r="M115" t="s">
        <v>32</v>
      </c>
    </row>
    <row r="116" spans="1:13" x14ac:dyDescent="0.3">
      <c r="A116" t="s">
        <v>295</v>
      </c>
      <c r="B116" s="19">
        <v>45338</v>
      </c>
      <c r="C116" s="20">
        <v>0.21249999999999999</v>
      </c>
      <c r="D116" t="s">
        <v>296</v>
      </c>
      <c r="E116" t="s">
        <v>36</v>
      </c>
      <c r="F116">
        <v>3</v>
      </c>
      <c r="G116" t="s">
        <v>130</v>
      </c>
      <c r="H116" t="s">
        <v>46</v>
      </c>
      <c r="I116" t="s">
        <v>16</v>
      </c>
      <c r="J116">
        <v>2</v>
      </c>
      <c r="K116">
        <v>14</v>
      </c>
      <c r="L116" t="s">
        <v>22</v>
      </c>
      <c r="M116" t="s">
        <v>32</v>
      </c>
    </row>
    <row r="117" spans="1:13" x14ac:dyDescent="0.3">
      <c r="A117" t="s">
        <v>297</v>
      </c>
      <c r="B117" s="19">
        <v>45323</v>
      </c>
      <c r="C117" s="20">
        <v>0.28263888888888888</v>
      </c>
      <c r="D117" t="s">
        <v>298</v>
      </c>
      <c r="E117" t="s">
        <v>36</v>
      </c>
      <c r="F117">
        <v>66</v>
      </c>
      <c r="G117" t="s">
        <v>103</v>
      </c>
      <c r="H117" t="s">
        <v>45</v>
      </c>
      <c r="I117" t="s">
        <v>16</v>
      </c>
      <c r="J117">
        <v>1</v>
      </c>
      <c r="K117">
        <v>16</v>
      </c>
      <c r="L117" t="s">
        <v>28</v>
      </c>
      <c r="M117" t="s">
        <v>32</v>
      </c>
    </row>
    <row r="118" spans="1:13" x14ac:dyDescent="0.3">
      <c r="A118" t="s">
        <v>299</v>
      </c>
      <c r="B118" s="19">
        <v>45338</v>
      </c>
      <c r="C118" s="20">
        <v>0.33680555555555558</v>
      </c>
      <c r="D118" t="s">
        <v>300</v>
      </c>
      <c r="E118" t="s">
        <v>37</v>
      </c>
      <c r="F118">
        <v>78</v>
      </c>
      <c r="G118" t="s">
        <v>188</v>
      </c>
      <c r="H118" t="s">
        <v>45</v>
      </c>
      <c r="I118" t="s">
        <v>15</v>
      </c>
      <c r="J118">
        <v>1</v>
      </c>
      <c r="K118">
        <v>28</v>
      </c>
      <c r="L118" t="s">
        <v>29</v>
      </c>
      <c r="M118" t="s">
        <v>32</v>
      </c>
    </row>
    <row r="119" spans="1:13" x14ac:dyDescent="0.3">
      <c r="A119" t="s">
        <v>301</v>
      </c>
      <c r="B119" s="19">
        <v>45337</v>
      </c>
      <c r="C119" s="20">
        <v>0.39791666666666664</v>
      </c>
      <c r="D119" t="s">
        <v>302</v>
      </c>
      <c r="E119" t="s">
        <v>36</v>
      </c>
      <c r="F119">
        <v>47</v>
      </c>
      <c r="G119" t="s">
        <v>166</v>
      </c>
      <c r="H119" t="s">
        <v>45</v>
      </c>
      <c r="I119" t="s">
        <v>16</v>
      </c>
      <c r="J119">
        <v>0</v>
      </c>
      <c r="K119">
        <v>24</v>
      </c>
      <c r="L119" t="s">
        <v>26</v>
      </c>
      <c r="M119" t="s">
        <v>32</v>
      </c>
    </row>
    <row r="120" spans="1:13" x14ac:dyDescent="0.3">
      <c r="A120" t="s">
        <v>303</v>
      </c>
      <c r="B120" s="19">
        <v>45339</v>
      </c>
      <c r="C120" s="20">
        <v>0.21458333333333332</v>
      </c>
      <c r="D120" t="s">
        <v>304</v>
      </c>
      <c r="E120" t="s">
        <v>36</v>
      </c>
      <c r="F120">
        <v>26</v>
      </c>
      <c r="G120" t="s">
        <v>130</v>
      </c>
      <c r="H120" t="s">
        <v>42</v>
      </c>
      <c r="I120" t="s">
        <v>16</v>
      </c>
      <c r="J120">
        <v>3</v>
      </c>
      <c r="K120">
        <v>22</v>
      </c>
      <c r="L120" t="s">
        <v>24</v>
      </c>
      <c r="M120" t="s">
        <v>32</v>
      </c>
    </row>
    <row r="121" spans="1:13" x14ac:dyDescent="0.3">
      <c r="A121" t="s">
        <v>305</v>
      </c>
      <c r="B121" s="19">
        <v>45331</v>
      </c>
      <c r="C121" s="20">
        <v>0.4909722222222222</v>
      </c>
      <c r="D121" t="s">
        <v>306</v>
      </c>
      <c r="E121" t="s">
        <v>37</v>
      </c>
      <c r="F121">
        <v>68</v>
      </c>
      <c r="G121" t="s">
        <v>159</v>
      </c>
      <c r="H121" t="s">
        <v>42</v>
      </c>
      <c r="I121" t="s">
        <v>16</v>
      </c>
      <c r="J121">
        <v>2</v>
      </c>
      <c r="K121">
        <v>17</v>
      </c>
      <c r="L121" t="s">
        <v>28</v>
      </c>
      <c r="M121" t="s">
        <v>32</v>
      </c>
    </row>
    <row r="122" spans="1:13" x14ac:dyDescent="0.3">
      <c r="A122" t="s">
        <v>307</v>
      </c>
      <c r="B122" s="19">
        <v>45340</v>
      </c>
      <c r="C122" s="20">
        <v>0.98124999999999996</v>
      </c>
      <c r="D122" t="s">
        <v>308</v>
      </c>
      <c r="E122" t="s">
        <v>37</v>
      </c>
      <c r="F122">
        <v>27</v>
      </c>
      <c r="G122" t="s">
        <v>185</v>
      </c>
      <c r="H122" t="s">
        <v>42</v>
      </c>
      <c r="I122" t="s">
        <v>16</v>
      </c>
      <c r="J122">
        <v>6</v>
      </c>
      <c r="K122">
        <v>25</v>
      </c>
      <c r="L122" t="s">
        <v>24</v>
      </c>
      <c r="M122" t="s">
        <v>32</v>
      </c>
    </row>
    <row r="123" spans="1:13" x14ac:dyDescent="0.3">
      <c r="A123" t="s">
        <v>309</v>
      </c>
      <c r="B123" s="19">
        <v>45328</v>
      </c>
      <c r="C123" s="20">
        <v>0.30069444444444443</v>
      </c>
      <c r="D123" t="s">
        <v>310</v>
      </c>
      <c r="E123" t="s">
        <v>36</v>
      </c>
      <c r="F123">
        <v>58</v>
      </c>
      <c r="G123" t="s">
        <v>185</v>
      </c>
      <c r="H123" t="s">
        <v>42</v>
      </c>
      <c r="I123" t="s">
        <v>15</v>
      </c>
      <c r="J123">
        <v>7</v>
      </c>
      <c r="K123">
        <v>24</v>
      </c>
      <c r="L123" t="s">
        <v>27</v>
      </c>
      <c r="M123" t="s">
        <v>32</v>
      </c>
    </row>
    <row r="124" spans="1:13" x14ac:dyDescent="0.3">
      <c r="A124" t="s">
        <v>311</v>
      </c>
      <c r="B124" s="19">
        <v>45345</v>
      </c>
      <c r="C124" s="20">
        <v>1.9444444444444445E-2</v>
      </c>
      <c r="D124" t="s">
        <v>312</v>
      </c>
      <c r="E124" t="s">
        <v>37</v>
      </c>
      <c r="F124">
        <v>42</v>
      </c>
      <c r="G124" t="s">
        <v>188</v>
      </c>
      <c r="H124" t="s">
        <v>42</v>
      </c>
      <c r="I124" t="s">
        <v>15</v>
      </c>
      <c r="J124">
        <v>9</v>
      </c>
      <c r="K124">
        <v>19</v>
      </c>
      <c r="L124" t="s">
        <v>26</v>
      </c>
      <c r="M124" t="s">
        <v>32</v>
      </c>
    </row>
    <row r="125" spans="1:13" x14ac:dyDescent="0.3">
      <c r="A125" t="s">
        <v>313</v>
      </c>
      <c r="B125" s="19">
        <v>45331</v>
      </c>
      <c r="C125" s="20">
        <v>0.59791666666666665</v>
      </c>
      <c r="D125" t="s">
        <v>314</v>
      </c>
      <c r="E125" t="s">
        <v>37</v>
      </c>
      <c r="F125">
        <v>65</v>
      </c>
      <c r="G125" t="s">
        <v>103</v>
      </c>
      <c r="H125" t="s">
        <v>42</v>
      </c>
      <c r="I125" t="s">
        <v>15</v>
      </c>
      <c r="J125">
        <v>5</v>
      </c>
      <c r="K125">
        <v>25</v>
      </c>
      <c r="L125" t="s">
        <v>28</v>
      </c>
      <c r="M125" t="s">
        <v>32</v>
      </c>
    </row>
    <row r="126" spans="1:13" x14ac:dyDescent="0.3">
      <c r="A126" t="s">
        <v>315</v>
      </c>
      <c r="B126" s="19">
        <v>45350</v>
      </c>
      <c r="C126" s="20">
        <v>4.3055555555555555E-2</v>
      </c>
      <c r="D126" t="s">
        <v>316</v>
      </c>
      <c r="E126" t="s">
        <v>37</v>
      </c>
      <c r="F126">
        <v>37</v>
      </c>
      <c r="G126" t="s">
        <v>103</v>
      </c>
      <c r="H126" t="s">
        <v>42</v>
      </c>
      <c r="I126" t="s">
        <v>15</v>
      </c>
      <c r="J126">
        <v>10</v>
      </c>
      <c r="K126">
        <v>15</v>
      </c>
      <c r="L126" t="s">
        <v>25</v>
      </c>
      <c r="M126" t="s">
        <v>32</v>
      </c>
    </row>
    <row r="127" spans="1:13" x14ac:dyDescent="0.3">
      <c r="A127" t="s">
        <v>317</v>
      </c>
      <c r="B127" s="19">
        <v>45336</v>
      </c>
      <c r="C127" s="20">
        <v>0.35416666666666669</v>
      </c>
      <c r="D127" t="s">
        <v>318</v>
      </c>
      <c r="E127" t="s">
        <v>36</v>
      </c>
      <c r="F127">
        <v>18</v>
      </c>
      <c r="G127" t="s">
        <v>66</v>
      </c>
      <c r="H127" t="s">
        <v>42</v>
      </c>
      <c r="I127" t="s">
        <v>15</v>
      </c>
      <c r="J127">
        <v>0</v>
      </c>
      <c r="K127">
        <v>10</v>
      </c>
      <c r="L127" t="s">
        <v>23</v>
      </c>
      <c r="M127" t="s">
        <v>32</v>
      </c>
    </row>
    <row r="128" spans="1:13" x14ac:dyDescent="0.3">
      <c r="A128" t="s">
        <v>319</v>
      </c>
      <c r="B128" s="19">
        <v>45345</v>
      </c>
      <c r="C128" s="20">
        <v>0.4548611111111111</v>
      </c>
      <c r="D128" t="s">
        <v>320</v>
      </c>
      <c r="E128" t="s">
        <v>37</v>
      </c>
      <c r="F128">
        <v>58</v>
      </c>
      <c r="G128" t="s">
        <v>166</v>
      </c>
      <c r="H128" t="s">
        <v>44</v>
      </c>
      <c r="I128" t="s">
        <v>16</v>
      </c>
      <c r="J128">
        <v>10</v>
      </c>
      <c r="K128">
        <v>27</v>
      </c>
      <c r="L128" t="s">
        <v>27</v>
      </c>
      <c r="M128" t="s">
        <v>32</v>
      </c>
    </row>
    <row r="129" spans="1:13" x14ac:dyDescent="0.3">
      <c r="A129" t="s">
        <v>321</v>
      </c>
      <c r="B129" s="19">
        <v>45329</v>
      </c>
      <c r="C129" s="20">
        <v>0.66805555555555551</v>
      </c>
      <c r="D129" t="s">
        <v>322</v>
      </c>
      <c r="E129" t="s">
        <v>36</v>
      </c>
      <c r="F129">
        <v>38</v>
      </c>
      <c r="G129" t="s">
        <v>159</v>
      </c>
      <c r="H129" t="s">
        <v>44</v>
      </c>
      <c r="I129" t="s">
        <v>16</v>
      </c>
      <c r="J129">
        <v>9</v>
      </c>
      <c r="K129">
        <v>23</v>
      </c>
      <c r="L129" t="s">
        <v>25</v>
      </c>
      <c r="M129" t="s">
        <v>32</v>
      </c>
    </row>
    <row r="130" spans="1:13" x14ac:dyDescent="0.3">
      <c r="A130" t="s">
        <v>323</v>
      </c>
      <c r="B130" s="19">
        <v>45334</v>
      </c>
      <c r="C130" s="20">
        <v>0.11319444444444444</v>
      </c>
      <c r="D130" t="s">
        <v>324</v>
      </c>
      <c r="E130" t="s">
        <v>37</v>
      </c>
      <c r="F130">
        <v>76</v>
      </c>
      <c r="G130" t="s">
        <v>159</v>
      </c>
      <c r="H130" t="s">
        <v>44</v>
      </c>
      <c r="I130" t="s">
        <v>16</v>
      </c>
      <c r="J130">
        <v>5</v>
      </c>
      <c r="K130">
        <v>28</v>
      </c>
      <c r="L130" t="s">
        <v>29</v>
      </c>
      <c r="M130" t="s">
        <v>32</v>
      </c>
    </row>
    <row r="131" spans="1:13" x14ac:dyDescent="0.3">
      <c r="A131" t="s">
        <v>325</v>
      </c>
      <c r="B131" s="19">
        <v>45351</v>
      </c>
      <c r="C131" s="20">
        <v>0.86597222222222225</v>
      </c>
      <c r="D131" t="s">
        <v>326</v>
      </c>
      <c r="E131" t="s">
        <v>37</v>
      </c>
      <c r="F131">
        <v>67</v>
      </c>
      <c r="G131" t="s">
        <v>185</v>
      </c>
      <c r="H131" t="s">
        <v>44</v>
      </c>
      <c r="I131" t="s">
        <v>16</v>
      </c>
      <c r="J131">
        <v>1</v>
      </c>
      <c r="K131">
        <v>14</v>
      </c>
      <c r="L131" t="s">
        <v>28</v>
      </c>
      <c r="M131" t="s">
        <v>32</v>
      </c>
    </row>
    <row r="132" spans="1:13" x14ac:dyDescent="0.3">
      <c r="A132" t="s">
        <v>327</v>
      </c>
      <c r="B132" s="19">
        <v>45339</v>
      </c>
      <c r="C132" s="20">
        <v>0.14861111111111111</v>
      </c>
      <c r="D132" t="s">
        <v>328</v>
      </c>
      <c r="E132" t="s">
        <v>37</v>
      </c>
      <c r="F132">
        <v>5</v>
      </c>
      <c r="G132" t="s">
        <v>185</v>
      </c>
      <c r="H132" t="s">
        <v>44</v>
      </c>
      <c r="I132" t="s">
        <v>16</v>
      </c>
      <c r="J132">
        <v>3</v>
      </c>
      <c r="K132">
        <v>28</v>
      </c>
      <c r="L132" t="s">
        <v>22</v>
      </c>
      <c r="M132" t="s">
        <v>32</v>
      </c>
    </row>
    <row r="133" spans="1:13" x14ac:dyDescent="0.3">
      <c r="A133" t="s">
        <v>329</v>
      </c>
      <c r="B133" s="19">
        <v>45343</v>
      </c>
      <c r="C133" s="20">
        <v>0.65416666666666667</v>
      </c>
      <c r="D133" t="s">
        <v>330</v>
      </c>
      <c r="E133" t="s">
        <v>36</v>
      </c>
      <c r="F133">
        <v>47</v>
      </c>
      <c r="G133" t="s">
        <v>188</v>
      </c>
      <c r="H133" t="s">
        <v>44</v>
      </c>
      <c r="I133" t="s">
        <v>15</v>
      </c>
      <c r="J133">
        <v>3</v>
      </c>
      <c r="K133">
        <v>29</v>
      </c>
      <c r="L133" t="s">
        <v>26</v>
      </c>
      <c r="M133" t="s">
        <v>32</v>
      </c>
    </row>
    <row r="134" spans="1:13" x14ac:dyDescent="0.3">
      <c r="A134" t="s">
        <v>331</v>
      </c>
      <c r="B134" s="19">
        <v>45340</v>
      </c>
      <c r="C134" s="20">
        <v>0.9458333333333333</v>
      </c>
      <c r="D134" t="s">
        <v>332</v>
      </c>
      <c r="E134" t="s">
        <v>37</v>
      </c>
      <c r="F134">
        <v>34</v>
      </c>
      <c r="G134" t="s">
        <v>188</v>
      </c>
      <c r="H134" t="s">
        <v>44</v>
      </c>
      <c r="I134" t="s">
        <v>15</v>
      </c>
      <c r="J134">
        <v>0</v>
      </c>
      <c r="K134">
        <v>19</v>
      </c>
      <c r="L134" t="s">
        <v>25</v>
      </c>
      <c r="M134" t="s">
        <v>32</v>
      </c>
    </row>
    <row r="135" spans="1:13" x14ac:dyDescent="0.3">
      <c r="A135" t="s">
        <v>333</v>
      </c>
      <c r="B135" s="19">
        <v>45344</v>
      </c>
      <c r="C135" s="20">
        <v>0.50486111111111109</v>
      </c>
      <c r="D135" t="s">
        <v>334</v>
      </c>
      <c r="E135" t="s">
        <v>37</v>
      </c>
      <c r="F135">
        <v>20</v>
      </c>
      <c r="G135" t="s">
        <v>188</v>
      </c>
      <c r="H135" t="s">
        <v>44</v>
      </c>
      <c r="I135" t="s">
        <v>15</v>
      </c>
      <c r="J135">
        <v>9</v>
      </c>
      <c r="K135">
        <v>18</v>
      </c>
      <c r="L135" t="s">
        <v>24</v>
      </c>
      <c r="M135" t="s">
        <v>32</v>
      </c>
    </row>
    <row r="136" spans="1:13" x14ac:dyDescent="0.3">
      <c r="A136" t="s">
        <v>335</v>
      </c>
      <c r="B136" s="19">
        <v>45340</v>
      </c>
      <c r="C136" s="20">
        <v>0.48680555555555555</v>
      </c>
      <c r="D136" t="s">
        <v>336</v>
      </c>
      <c r="E136" t="s">
        <v>37</v>
      </c>
      <c r="F136">
        <v>1</v>
      </c>
      <c r="G136" t="s">
        <v>130</v>
      </c>
      <c r="H136" t="s">
        <v>44</v>
      </c>
      <c r="I136" t="s">
        <v>16</v>
      </c>
      <c r="J136">
        <v>9</v>
      </c>
      <c r="K136">
        <v>28</v>
      </c>
      <c r="L136" t="s">
        <v>22</v>
      </c>
      <c r="M136" t="s">
        <v>32</v>
      </c>
    </row>
    <row r="137" spans="1:13" x14ac:dyDescent="0.3">
      <c r="A137" t="s">
        <v>337</v>
      </c>
      <c r="B137" s="19">
        <v>45345</v>
      </c>
      <c r="C137" s="20">
        <v>0.44930555555555557</v>
      </c>
      <c r="D137" t="s">
        <v>338</v>
      </c>
      <c r="E137" t="s">
        <v>36</v>
      </c>
      <c r="F137">
        <v>41</v>
      </c>
      <c r="G137" t="s">
        <v>130</v>
      </c>
      <c r="H137" t="s">
        <v>44</v>
      </c>
      <c r="I137" t="s">
        <v>16</v>
      </c>
      <c r="J137">
        <v>5</v>
      </c>
      <c r="K137">
        <v>14</v>
      </c>
      <c r="L137" t="s">
        <v>26</v>
      </c>
      <c r="M137" t="s">
        <v>32</v>
      </c>
    </row>
    <row r="138" spans="1:13" x14ac:dyDescent="0.3">
      <c r="A138" t="s">
        <v>339</v>
      </c>
      <c r="B138" s="19">
        <v>45325</v>
      </c>
      <c r="C138" s="20">
        <v>0.14027777777777778</v>
      </c>
      <c r="D138" t="s">
        <v>340</v>
      </c>
      <c r="E138" t="s">
        <v>37</v>
      </c>
      <c r="F138">
        <v>18</v>
      </c>
      <c r="G138" t="s">
        <v>130</v>
      </c>
      <c r="H138" t="s">
        <v>44</v>
      </c>
      <c r="I138" t="s">
        <v>16</v>
      </c>
      <c r="J138">
        <v>5</v>
      </c>
      <c r="K138">
        <v>23</v>
      </c>
      <c r="L138" t="s">
        <v>23</v>
      </c>
      <c r="M138" t="s">
        <v>32</v>
      </c>
    </row>
    <row r="139" spans="1:13" x14ac:dyDescent="0.3">
      <c r="A139" t="s">
        <v>341</v>
      </c>
      <c r="B139" s="19">
        <v>45336</v>
      </c>
      <c r="C139" s="20">
        <v>0.96944444444444444</v>
      </c>
      <c r="D139" t="s">
        <v>342</v>
      </c>
      <c r="E139" t="s">
        <v>36</v>
      </c>
      <c r="F139">
        <v>48</v>
      </c>
      <c r="G139" t="s">
        <v>130</v>
      </c>
      <c r="H139" t="s">
        <v>44</v>
      </c>
      <c r="I139" t="s">
        <v>15</v>
      </c>
      <c r="J139">
        <v>2</v>
      </c>
      <c r="K139">
        <v>21</v>
      </c>
      <c r="L139" t="s">
        <v>26</v>
      </c>
      <c r="M139" t="s">
        <v>32</v>
      </c>
    </row>
    <row r="140" spans="1:13" x14ac:dyDescent="0.3">
      <c r="A140" t="s">
        <v>343</v>
      </c>
      <c r="B140" s="19">
        <v>45336</v>
      </c>
      <c r="C140" s="20">
        <v>0.22777777777777777</v>
      </c>
      <c r="D140" t="s">
        <v>344</v>
      </c>
      <c r="E140" t="s">
        <v>37</v>
      </c>
      <c r="F140">
        <v>77</v>
      </c>
      <c r="G140" t="s">
        <v>130</v>
      </c>
      <c r="H140" t="s">
        <v>44</v>
      </c>
      <c r="I140" t="s">
        <v>15</v>
      </c>
      <c r="J140">
        <v>1</v>
      </c>
      <c r="K140">
        <v>12</v>
      </c>
      <c r="L140" t="s">
        <v>29</v>
      </c>
      <c r="M140" t="s">
        <v>32</v>
      </c>
    </row>
    <row r="141" spans="1:13" x14ac:dyDescent="0.3">
      <c r="A141" t="s">
        <v>345</v>
      </c>
      <c r="B141" s="19">
        <v>45325</v>
      </c>
      <c r="C141" s="20">
        <v>0.34375</v>
      </c>
      <c r="D141" t="s">
        <v>346</v>
      </c>
      <c r="E141" t="s">
        <v>36</v>
      </c>
      <c r="F141">
        <v>77</v>
      </c>
      <c r="G141" t="s">
        <v>103</v>
      </c>
      <c r="H141" t="s">
        <v>44</v>
      </c>
      <c r="I141" t="s">
        <v>16</v>
      </c>
      <c r="J141">
        <v>1</v>
      </c>
      <c r="K141">
        <v>25</v>
      </c>
      <c r="L141" t="s">
        <v>29</v>
      </c>
      <c r="M141" t="s">
        <v>32</v>
      </c>
    </row>
    <row r="142" spans="1:13" x14ac:dyDescent="0.3">
      <c r="A142" t="s">
        <v>347</v>
      </c>
      <c r="B142" s="19">
        <v>45341</v>
      </c>
      <c r="C142" s="20">
        <v>0.56736111111111109</v>
      </c>
      <c r="D142" t="s">
        <v>348</v>
      </c>
      <c r="E142" t="s">
        <v>37</v>
      </c>
      <c r="F142">
        <v>10</v>
      </c>
      <c r="G142" t="s">
        <v>66</v>
      </c>
      <c r="H142" t="s">
        <v>44</v>
      </c>
      <c r="I142" t="s">
        <v>15</v>
      </c>
      <c r="J142">
        <v>0</v>
      </c>
      <c r="K142">
        <v>24</v>
      </c>
      <c r="L142" t="s">
        <v>23</v>
      </c>
      <c r="M142" t="s">
        <v>32</v>
      </c>
    </row>
    <row r="143" spans="1:13" x14ac:dyDescent="0.3">
      <c r="A143" t="s">
        <v>349</v>
      </c>
      <c r="B143" s="19">
        <v>45334</v>
      </c>
      <c r="C143" s="20">
        <v>0.79722222222222228</v>
      </c>
      <c r="D143" t="s">
        <v>350</v>
      </c>
      <c r="E143" t="s">
        <v>37</v>
      </c>
      <c r="F143">
        <v>48</v>
      </c>
      <c r="G143" t="s">
        <v>66</v>
      </c>
      <c r="H143" t="s">
        <v>44</v>
      </c>
      <c r="I143" t="s">
        <v>15</v>
      </c>
      <c r="J143">
        <v>9</v>
      </c>
      <c r="K143">
        <v>26</v>
      </c>
      <c r="L143" t="s">
        <v>26</v>
      </c>
      <c r="M143" t="s">
        <v>32</v>
      </c>
    </row>
    <row r="144" spans="1:13" x14ac:dyDescent="0.3">
      <c r="A144" t="s">
        <v>351</v>
      </c>
      <c r="B144" s="19">
        <v>45347</v>
      </c>
      <c r="C144" s="20">
        <v>0.43194444444444446</v>
      </c>
      <c r="D144" t="s">
        <v>352</v>
      </c>
      <c r="E144" t="s">
        <v>37</v>
      </c>
      <c r="F144">
        <v>70</v>
      </c>
      <c r="G144" t="s">
        <v>66</v>
      </c>
      <c r="H144" t="s">
        <v>44</v>
      </c>
      <c r="I144" t="s">
        <v>15</v>
      </c>
      <c r="J144">
        <v>10</v>
      </c>
      <c r="K144">
        <v>29</v>
      </c>
      <c r="L144" t="s">
        <v>29</v>
      </c>
      <c r="M144" t="s">
        <v>32</v>
      </c>
    </row>
    <row r="145" spans="1:13" x14ac:dyDescent="0.3">
      <c r="A145" t="s">
        <v>353</v>
      </c>
      <c r="B145" s="19">
        <v>45339</v>
      </c>
      <c r="C145" s="20">
        <v>0.82291666666666663</v>
      </c>
      <c r="D145" t="s">
        <v>354</v>
      </c>
      <c r="E145" t="s">
        <v>36</v>
      </c>
      <c r="F145">
        <v>9</v>
      </c>
      <c r="G145" t="s">
        <v>66</v>
      </c>
      <c r="H145" t="s">
        <v>44</v>
      </c>
      <c r="I145" t="s">
        <v>15</v>
      </c>
      <c r="J145">
        <v>5</v>
      </c>
      <c r="K145">
        <v>13</v>
      </c>
      <c r="L145" t="s">
        <v>22</v>
      </c>
      <c r="M145" t="s">
        <v>32</v>
      </c>
    </row>
    <row r="146" spans="1:13" x14ac:dyDescent="0.3">
      <c r="A146" t="s">
        <v>355</v>
      </c>
      <c r="B146" s="19">
        <v>45335</v>
      </c>
      <c r="C146" s="20">
        <v>0.79236111111111107</v>
      </c>
      <c r="D146" t="s">
        <v>356</v>
      </c>
      <c r="E146" t="s">
        <v>36</v>
      </c>
      <c r="F146">
        <v>67</v>
      </c>
      <c r="G146" t="s">
        <v>66</v>
      </c>
      <c r="H146" t="s">
        <v>44</v>
      </c>
      <c r="I146" t="s">
        <v>16</v>
      </c>
      <c r="J146">
        <v>1</v>
      </c>
      <c r="K146">
        <v>17</v>
      </c>
      <c r="L146" t="s">
        <v>28</v>
      </c>
      <c r="M146" t="s">
        <v>32</v>
      </c>
    </row>
    <row r="147" spans="1:13" x14ac:dyDescent="0.3">
      <c r="A147" t="s">
        <v>357</v>
      </c>
      <c r="B147" s="19">
        <v>45327</v>
      </c>
      <c r="C147" s="20">
        <v>0.5708333333333333</v>
      </c>
      <c r="D147" t="s">
        <v>358</v>
      </c>
      <c r="E147" t="s">
        <v>36</v>
      </c>
      <c r="F147">
        <v>3</v>
      </c>
      <c r="G147" t="s">
        <v>66</v>
      </c>
      <c r="H147" t="s">
        <v>44</v>
      </c>
      <c r="I147" t="s">
        <v>16</v>
      </c>
      <c r="J147">
        <v>7</v>
      </c>
      <c r="K147">
        <v>26</v>
      </c>
      <c r="L147" t="s">
        <v>22</v>
      </c>
      <c r="M147" t="s">
        <v>32</v>
      </c>
    </row>
    <row r="148" spans="1:13" x14ac:dyDescent="0.3">
      <c r="A148" t="s">
        <v>359</v>
      </c>
      <c r="B148" s="19">
        <v>45323</v>
      </c>
      <c r="C148" s="20">
        <v>0.2638888888888889</v>
      </c>
      <c r="D148" t="s">
        <v>360</v>
      </c>
      <c r="E148" t="s">
        <v>37</v>
      </c>
      <c r="F148">
        <v>78</v>
      </c>
      <c r="G148" t="s">
        <v>66</v>
      </c>
      <c r="H148" t="s">
        <v>44</v>
      </c>
      <c r="I148" t="s">
        <v>16</v>
      </c>
      <c r="J148">
        <v>0</v>
      </c>
      <c r="K148">
        <v>13</v>
      </c>
      <c r="L148" t="s">
        <v>29</v>
      </c>
      <c r="M148" t="s">
        <v>32</v>
      </c>
    </row>
    <row r="149" spans="1:13" x14ac:dyDescent="0.3">
      <c r="A149" t="s">
        <v>361</v>
      </c>
      <c r="B149" s="19">
        <v>45345</v>
      </c>
      <c r="C149" s="20">
        <v>0.82708333333333328</v>
      </c>
      <c r="D149" t="s">
        <v>362</v>
      </c>
      <c r="E149" t="s">
        <v>37</v>
      </c>
      <c r="F149">
        <v>72</v>
      </c>
      <c r="G149" t="s">
        <v>66</v>
      </c>
      <c r="H149" t="s">
        <v>44</v>
      </c>
      <c r="I149" t="s">
        <v>16</v>
      </c>
      <c r="J149">
        <v>0</v>
      </c>
      <c r="K149">
        <v>10</v>
      </c>
      <c r="L149" t="s">
        <v>29</v>
      </c>
      <c r="M149" t="s">
        <v>32</v>
      </c>
    </row>
    <row r="150" spans="1:13" x14ac:dyDescent="0.3">
      <c r="A150" t="s">
        <v>363</v>
      </c>
      <c r="B150" s="19">
        <v>45343</v>
      </c>
      <c r="C150" s="20">
        <v>0.87222222222222223</v>
      </c>
      <c r="D150" t="s">
        <v>364</v>
      </c>
      <c r="E150" t="s">
        <v>37</v>
      </c>
      <c r="F150">
        <v>7</v>
      </c>
      <c r="G150" t="s">
        <v>66</v>
      </c>
      <c r="H150" t="s">
        <v>44</v>
      </c>
      <c r="I150" t="s">
        <v>16</v>
      </c>
      <c r="J150">
        <v>7</v>
      </c>
      <c r="K150">
        <v>22</v>
      </c>
      <c r="L150" t="s">
        <v>22</v>
      </c>
      <c r="M150" t="s">
        <v>32</v>
      </c>
    </row>
    <row r="151" spans="1:13" x14ac:dyDescent="0.3">
      <c r="A151" t="s">
        <v>365</v>
      </c>
      <c r="B151" s="19">
        <v>45336</v>
      </c>
      <c r="C151" s="20">
        <v>0.54652777777777772</v>
      </c>
      <c r="D151" t="s">
        <v>366</v>
      </c>
      <c r="E151" t="s">
        <v>37</v>
      </c>
      <c r="F151">
        <v>23</v>
      </c>
      <c r="G151" t="s">
        <v>66</v>
      </c>
      <c r="H151" t="s">
        <v>44</v>
      </c>
      <c r="I151" t="s">
        <v>16</v>
      </c>
      <c r="J151">
        <v>10</v>
      </c>
      <c r="K151">
        <v>21</v>
      </c>
      <c r="L151" t="s">
        <v>24</v>
      </c>
      <c r="M151" t="s">
        <v>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8EA46-DFF9-49CC-80DD-CFA2C54B7AA8}">
  <dimension ref="A3:S122"/>
  <sheetViews>
    <sheetView showGridLines="0" zoomScale="103" workbookViewId="0">
      <selection activeCell="A8" sqref="A8:A9"/>
    </sheetView>
  </sheetViews>
  <sheetFormatPr defaultRowHeight="14.4" x14ac:dyDescent="0.3"/>
  <cols>
    <col min="1" max="1" width="17.33203125" customWidth="1"/>
    <col min="2" max="2" width="27" customWidth="1"/>
    <col min="3" max="3" width="24.5546875" customWidth="1"/>
    <col min="4" max="4" width="10.6640625" customWidth="1"/>
    <col min="5" max="5" width="11.109375" customWidth="1"/>
    <col min="7" max="7" width="12.5546875" bestFit="1" customWidth="1"/>
    <col min="8" max="8" width="17.88671875" bestFit="1" customWidth="1"/>
    <col min="12" max="12" width="12.5546875" bestFit="1" customWidth="1"/>
    <col min="13" max="13" width="11.5546875" bestFit="1" customWidth="1"/>
    <col min="19" max="19" width="25" bestFit="1" customWidth="1"/>
  </cols>
  <sheetData>
    <row r="3" spans="1:19" x14ac:dyDescent="0.3">
      <c r="A3" t="s">
        <v>1</v>
      </c>
      <c r="C3" t="s">
        <v>9</v>
      </c>
      <c r="L3" t="s">
        <v>10</v>
      </c>
      <c r="R3" t="s">
        <v>13</v>
      </c>
    </row>
    <row r="4" spans="1:19" x14ac:dyDescent="0.3">
      <c r="A4" t="s">
        <v>0</v>
      </c>
      <c r="C4" s="2" t="s">
        <v>4</v>
      </c>
      <c r="D4" t="s">
        <v>0</v>
      </c>
      <c r="L4" s="2" t="s">
        <v>4</v>
      </c>
      <c r="M4" t="s">
        <v>2</v>
      </c>
      <c r="R4" s="2" t="s">
        <v>4</v>
      </c>
      <c r="S4" t="s">
        <v>3</v>
      </c>
    </row>
    <row r="5" spans="1:19" x14ac:dyDescent="0.3">
      <c r="A5">
        <v>513</v>
      </c>
      <c r="C5" s="3" t="s">
        <v>370</v>
      </c>
      <c r="D5">
        <v>19</v>
      </c>
      <c r="H5" t="s">
        <v>8</v>
      </c>
      <c r="L5" s="3" t="s">
        <v>370</v>
      </c>
      <c r="M5" s="1">
        <v>37.789473684210527</v>
      </c>
      <c r="R5" s="3" t="s">
        <v>370</v>
      </c>
      <c r="S5" s="1">
        <v>6.666666666666667</v>
      </c>
    </row>
    <row r="6" spans="1:19" x14ac:dyDescent="0.3">
      <c r="C6" s="3" t="s">
        <v>371</v>
      </c>
      <c r="D6">
        <v>14</v>
      </c>
      <c r="L6" s="3" t="s">
        <v>371</v>
      </c>
      <c r="M6" s="1">
        <v>38.214285714285715</v>
      </c>
      <c r="R6" s="3" t="s">
        <v>371</v>
      </c>
      <c r="S6" s="1">
        <v>3.5</v>
      </c>
    </row>
    <row r="7" spans="1:19" x14ac:dyDescent="0.3">
      <c r="C7" s="3" t="s">
        <v>372</v>
      </c>
      <c r="D7">
        <v>13</v>
      </c>
      <c r="L7" s="3" t="s">
        <v>372</v>
      </c>
      <c r="M7" s="1">
        <v>40.92307692307692</v>
      </c>
      <c r="R7" s="3" t="s">
        <v>372</v>
      </c>
      <c r="S7" s="1">
        <v>4.5</v>
      </c>
    </row>
    <row r="8" spans="1:19" x14ac:dyDescent="0.3">
      <c r="A8" t="s">
        <v>2</v>
      </c>
      <c r="C8" s="3" t="s">
        <v>373</v>
      </c>
      <c r="D8">
        <v>22</v>
      </c>
      <c r="L8" s="3" t="s">
        <v>373</v>
      </c>
      <c r="M8" s="1">
        <v>34.5</v>
      </c>
      <c r="R8" s="3" t="s">
        <v>373</v>
      </c>
      <c r="S8" s="1">
        <v>4.8</v>
      </c>
    </row>
    <row r="9" spans="1:19" x14ac:dyDescent="0.3">
      <c r="A9" s="1">
        <v>36.323586744639378</v>
      </c>
      <c r="C9" s="3" t="s">
        <v>374</v>
      </c>
      <c r="D9">
        <v>19</v>
      </c>
      <c r="L9" s="3" t="s">
        <v>374</v>
      </c>
      <c r="M9" s="1">
        <v>30.684210526315791</v>
      </c>
      <c r="R9" s="3" t="s">
        <v>374</v>
      </c>
      <c r="S9" s="1">
        <v>7.75</v>
      </c>
    </row>
    <row r="10" spans="1:19" x14ac:dyDescent="0.3">
      <c r="C10" s="3" t="s">
        <v>375</v>
      </c>
      <c r="D10">
        <v>15</v>
      </c>
      <c r="L10" s="3" t="s">
        <v>375</v>
      </c>
      <c r="M10" s="1">
        <v>37.666666666666664</v>
      </c>
      <c r="R10" s="3" t="s">
        <v>375</v>
      </c>
      <c r="S10" s="1">
        <v>6.2</v>
      </c>
    </row>
    <row r="11" spans="1:19" x14ac:dyDescent="0.3">
      <c r="A11" t="s">
        <v>3</v>
      </c>
      <c r="C11" s="3" t="s">
        <v>376</v>
      </c>
      <c r="D11">
        <v>12</v>
      </c>
      <c r="L11" s="3" t="s">
        <v>376</v>
      </c>
      <c r="M11" s="1">
        <v>36.083333333333336</v>
      </c>
      <c r="R11" s="3" t="s">
        <v>376</v>
      </c>
      <c r="S11" s="1">
        <v>3.75</v>
      </c>
    </row>
    <row r="12" spans="1:19" x14ac:dyDescent="0.3">
      <c r="A12" s="1">
        <v>4.9591836734693882</v>
      </c>
      <c r="C12" s="3" t="s">
        <v>377</v>
      </c>
      <c r="D12">
        <v>21</v>
      </c>
      <c r="L12" s="3" t="s">
        <v>377</v>
      </c>
      <c r="M12" s="1">
        <v>43.523809523809526</v>
      </c>
      <c r="R12" s="3" t="s">
        <v>377</v>
      </c>
      <c r="S12" s="1">
        <v>6.5</v>
      </c>
    </row>
    <row r="13" spans="1:19" x14ac:dyDescent="0.3">
      <c r="C13" s="3" t="s">
        <v>378</v>
      </c>
      <c r="D13">
        <v>12</v>
      </c>
      <c r="L13" s="3" t="s">
        <v>378</v>
      </c>
      <c r="M13" s="1">
        <v>29.5</v>
      </c>
      <c r="R13" s="3" t="s">
        <v>378</v>
      </c>
      <c r="S13" s="1">
        <v>3</v>
      </c>
    </row>
    <row r="14" spans="1:19" x14ac:dyDescent="0.3">
      <c r="C14" s="3" t="s">
        <v>379</v>
      </c>
      <c r="D14">
        <v>13</v>
      </c>
      <c r="L14" s="3" t="s">
        <v>379</v>
      </c>
      <c r="M14" s="1">
        <v>38.07692307692308</v>
      </c>
      <c r="R14" s="3" t="s">
        <v>379</v>
      </c>
      <c r="S14" s="1">
        <v>4.5</v>
      </c>
    </row>
    <row r="15" spans="1:19" x14ac:dyDescent="0.3">
      <c r="C15" s="3" t="s">
        <v>380</v>
      </c>
      <c r="D15">
        <v>13</v>
      </c>
      <c r="L15" s="3" t="s">
        <v>380</v>
      </c>
      <c r="M15" s="1">
        <v>35.846153846153847</v>
      </c>
      <c r="R15" s="3" t="s">
        <v>380</v>
      </c>
      <c r="S15" s="1">
        <v>6</v>
      </c>
    </row>
    <row r="16" spans="1:19" x14ac:dyDescent="0.3">
      <c r="C16" s="3" t="s">
        <v>381</v>
      </c>
      <c r="D16">
        <v>16</v>
      </c>
      <c r="L16" s="3" t="s">
        <v>381</v>
      </c>
      <c r="M16" s="1">
        <v>32.625</v>
      </c>
      <c r="R16" s="3" t="s">
        <v>381</v>
      </c>
      <c r="S16" s="1">
        <v>5.2</v>
      </c>
    </row>
    <row r="17" spans="3:19" x14ac:dyDescent="0.3">
      <c r="C17" s="3" t="s">
        <v>382</v>
      </c>
      <c r="D17">
        <v>20</v>
      </c>
      <c r="L17" s="3" t="s">
        <v>382</v>
      </c>
      <c r="M17" s="1">
        <v>39.200000000000003</v>
      </c>
      <c r="R17" s="3" t="s">
        <v>382</v>
      </c>
      <c r="S17" s="1">
        <v>4.4000000000000004</v>
      </c>
    </row>
    <row r="18" spans="3:19" x14ac:dyDescent="0.3">
      <c r="C18" s="3" t="s">
        <v>383</v>
      </c>
      <c r="D18">
        <v>25</v>
      </c>
      <c r="L18" s="3" t="s">
        <v>383</v>
      </c>
      <c r="M18" s="1">
        <v>35.28</v>
      </c>
      <c r="R18" s="3" t="s">
        <v>383</v>
      </c>
      <c r="S18" s="1">
        <v>3.4545454545454546</v>
      </c>
    </row>
    <row r="19" spans="3:19" x14ac:dyDescent="0.3">
      <c r="C19" s="3" t="s">
        <v>384</v>
      </c>
      <c r="D19">
        <v>20</v>
      </c>
      <c r="L19" s="3" t="s">
        <v>384</v>
      </c>
      <c r="M19" s="1">
        <v>32.549999999999997</v>
      </c>
      <c r="R19" s="3" t="s">
        <v>384</v>
      </c>
      <c r="S19" s="1">
        <v>4.4000000000000004</v>
      </c>
    </row>
    <row r="20" spans="3:19" x14ac:dyDescent="0.3">
      <c r="C20" s="3" t="s">
        <v>385</v>
      </c>
      <c r="D20">
        <v>14</v>
      </c>
      <c r="L20" s="3" t="s">
        <v>385</v>
      </c>
      <c r="M20" s="1">
        <v>35.642857142857146</v>
      </c>
      <c r="R20" s="3" t="s">
        <v>385</v>
      </c>
      <c r="S20" s="1">
        <v>5.833333333333333</v>
      </c>
    </row>
    <row r="21" spans="3:19" x14ac:dyDescent="0.3">
      <c r="C21" s="3" t="s">
        <v>386</v>
      </c>
      <c r="D21">
        <v>17</v>
      </c>
      <c r="L21" s="3" t="s">
        <v>386</v>
      </c>
      <c r="M21" s="1">
        <v>38.764705882352942</v>
      </c>
      <c r="R21" s="3" t="s">
        <v>386</v>
      </c>
      <c r="S21" s="1">
        <v>4.4444444444444446</v>
      </c>
    </row>
    <row r="22" spans="3:19" x14ac:dyDescent="0.3">
      <c r="C22" s="3" t="s">
        <v>387</v>
      </c>
      <c r="D22">
        <v>20</v>
      </c>
      <c r="L22" s="3" t="s">
        <v>387</v>
      </c>
      <c r="M22" s="1">
        <v>39.9</v>
      </c>
      <c r="R22" s="3" t="s">
        <v>387</v>
      </c>
      <c r="S22" s="1">
        <v>5.333333333333333</v>
      </c>
    </row>
    <row r="23" spans="3:19" x14ac:dyDescent="0.3">
      <c r="C23" s="3" t="s">
        <v>388</v>
      </c>
      <c r="D23">
        <v>10</v>
      </c>
      <c r="L23" s="3" t="s">
        <v>388</v>
      </c>
      <c r="M23" s="1">
        <v>41.6</v>
      </c>
      <c r="R23" s="3" t="s">
        <v>388</v>
      </c>
      <c r="S23" s="1">
        <v>5.333333333333333</v>
      </c>
    </row>
    <row r="24" spans="3:19" x14ac:dyDescent="0.3">
      <c r="C24" s="3" t="s">
        <v>389</v>
      </c>
      <c r="D24">
        <v>17</v>
      </c>
      <c r="L24" s="3" t="s">
        <v>389</v>
      </c>
      <c r="M24" s="1">
        <v>39.470588235294116</v>
      </c>
      <c r="R24" s="3" t="s">
        <v>389</v>
      </c>
      <c r="S24" s="1">
        <v>5.5714285714285712</v>
      </c>
    </row>
    <row r="25" spans="3:19" x14ac:dyDescent="0.3">
      <c r="C25" s="3" t="s">
        <v>390</v>
      </c>
      <c r="D25">
        <v>15</v>
      </c>
      <c r="L25" s="3" t="s">
        <v>390</v>
      </c>
      <c r="M25" s="1">
        <v>27.733333333333334</v>
      </c>
      <c r="R25" s="3" t="s">
        <v>390</v>
      </c>
      <c r="S25" s="1">
        <v>5</v>
      </c>
    </row>
    <row r="26" spans="3:19" x14ac:dyDescent="0.3">
      <c r="C26" s="3" t="s">
        <v>391</v>
      </c>
      <c r="D26">
        <v>16</v>
      </c>
      <c r="L26" s="3" t="s">
        <v>391</v>
      </c>
      <c r="M26" s="1">
        <v>36.875</v>
      </c>
      <c r="R26" s="3" t="s">
        <v>391</v>
      </c>
      <c r="S26" s="1">
        <v>6.4</v>
      </c>
    </row>
    <row r="27" spans="3:19" x14ac:dyDescent="0.3">
      <c r="C27" s="3" t="s">
        <v>392</v>
      </c>
      <c r="D27">
        <v>18</v>
      </c>
      <c r="L27" s="3" t="s">
        <v>392</v>
      </c>
      <c r="M27" s="1">
        <v>40.333333333333336</v>
      </c>
      <c r="R27" s="3" t="s">
        <v>392</v>
      </c>
      <c r="S27" s="1">
        <v>5.333333333333333</v>
      </c>
    </row>
    <row r="28" spans="3:19" x14ac:dyDescent="0.3">
      <c r="C28" s="3" t="s">
        <v>393</v>
      </c>
      <c r="D28">
        <v>16</v>
      </c>
      <c r="L28" s="3" t="s">
        <v>393</v>
      </c>
      <c r="M28" s="1">
        <v>36.5</v>
      </c>
      <c r="R28" s="3" t="s">
        <v>393</v>
      </c>
      <c r="S28" s="1">
        <v>3.75</v>
      </c>
    </row>
    <row r="29" spans="3:19" x14ac:dyDescent="0.3">
      <c r="C29" s="3" t="s">
        <v>394</v>
      </c>
      <c r="D29">
        <v>15</v>
      </c>
      <c r="L29" s="3" t="s">
        <v>394</v>
      </c>
      <c r="M29" s="1">
        <v>32.866666666666667</v>
      </c>
      <c r="R29" s="3" t="s">
        <v>394</v>
      </c>
      <c r="S29" s="1">
        <v>6.333333333333333</v>
      </c>
    </row>
    <row r="30" spans="3:19" x14ac:dyDescent="0.3">
      <c r="C30" s="3" t="s">
        <v>395</v>
      </c>
      <c r="D30">
        <v>14</v>
      </c>
      <c r="L30" s="3" t="s">
        <v>395</v>
      </c>
      <c r="M30" s="1">
        <v>36.642857142857146</v>
      </c>
      <c r="R30" s="3" t="s">
        <v>395</v>
      </c>
      <c r="S30" s="1">
        <v>10</v>
      </c>
    </row>
    <row r="31" spans="3:19" x14ac:dyDescent="0.3">
      <c r="C31" s="3" t="s">
        <v>396</v>
      </c>
      <c r="D31">
        <v>16</v>
      </c>
      <c r="L31" s="3" t="s">
        <v>396</v>
      </c>
      <c r="M31" s="1">
        <v>36.5625</v>
      </c>
      <c r="R31" s="3" t="s">
        <v>396</v>
      </c>
      <c r="S31" s="1">
        <v>5</v>
      </c>
    </row>
    <row r="32" spans="3:19" x14ac:dyDescent="0.3">
      <c r="C32" s="3" t="s">
        <v>397</v>
      </c>
      <c r="D32">
        <v>20</v>
      </c>
      <c r="L32" s="3" t="s">
        <v>397</v>
      </c>
      <c r="M32" s="1">
        <v>32.15</v>
      </c>
      <c r="R32" s="3" t="s">
        <v>397</v>
      </c>
      <c r="S32" s="1">
        <v>5.333333333333333</v>
      </c>
    </row>
    <row r="33" spans="1:19" x14ac:dyDescent="0.3">
      <c r="C33" s="3" t="s">
        <v>398</v>
      </c>
      <c r="D33">
        <v>19</v>
      </c>
      <c r="L33" s="3" t="s">
        <v>398</v>
      </c>
      <c r="M33" s="1">
        <v>38.368421052631582</v>
      </c>
      <c r="R33" s="3" t="s">
        <v>398</v>
      </c>
      <c r="S33" s="1">
        <v>4.8</v>
      </c>
    </row>
    <row r="34" spans="1:19" x14ac:dyDescent="0.3">
      <c r="C34" s="3" t="s">
        <v>399</v>
      </c>
      <c r="D34">
        <v>14</v>
      </c>
      <c r="L34" s="3" t="s">
        <v>399</v>
      </c>
      <c r="M34" s="1">
        <v>33.071428571428569</v>
      </c>
      <c r="R34" s="3" t="s">
        <v>399</v>
      </c>
      <c r="S34" s="1">
        <v>5</v>
      </c>
    </row>
    <row r="35" spans="1:19" x14ac:dyDescent="0.3">
      <c r="C35" s="3" t="s">
        <v>400</v>
      </c>
      <c r="D35">
        <v>18</v>
      </c>
      <c r="L35" s="3" t="s">
        <v>400</v>
      </c>
      <c r="M35" s="1">
        <v>36.444444444444443</v>
      </c>
      <c r="R35" s="3" t="s">
        <v>400</v>
      </c>
      <c r="S35" s="1">
        <v>1.4</v>
      </c>
    </row>
    <row r="36" spans="1:19" x14ac:dyDescent="0.3">
      <c r="C36" s="3" t="s">
        <v>5</v>
      </c>
      <c r="D36">
        <v>513</v>
      </c>
      <c r="L36" s="3" t="s">
        <v>5</v>
      </c>
      <c r="M36" s="5">
        <v>36.323586744639378</v>
      </c>
      <c r="R36" s="3" t="s">
        <v>5</v>
      </c>
      <c r="S36" s="5">
        <v>4.9591836734693882</v>
      </c>
    </row>
    <row r="41" spans="1:19" x14ac:dyDescent="0.3">
      <c r="A41" s="2" t="s">
        <v>4</v>
      </c>
      <c r="B41" t="s">
        <v>14</v>
      </c>
      <c r="C41" t="s">
        <v>17</v>
      </c>
    </row>
    <row r="42" spans="1:19" x14ac:dyDescent="0.3">
      <c r="A42" s="3" t="s">
        <v>15</v>
      </c>
      <c r="B42" s="7">
        <v>269</v>
      </c>
      <c r="C42" s="8">
        <v>0.52436647173489281</v>
      </c>
    </row>
    <row r="43" spans="1:19" x14ac:dyDescent="0.3">
      <c r="A43" s="3" t="s">
        <v>16</v>
      </c>
      <c r="B43" s="7">
        <v>244</v>
      </c>
      <c r="C43" s="8">
        <v>0.47563352826510719</v>
      </c>
    </row>
    <row r="44" spans="1:19" x14ac:dyDescent="0.3">
      <c r="A44" s="3" t="s">
        <v>5</v>
      </c>
      <c r="B44" s="1">
        <v>513</v>
      </c>
      <c r="C44" s="8">
        <v>1</v>
      </c>
    </row>
    <row r="49" spans="1:9" ht="15.6" x14ac:dyDescent="0.3">
      <c r="A49" s="17" t="s">
        <v>18</v>
      </c>
      <c r="B49" s="17" t="s">
        <v>19</v>
      </c>
      <c r="C49" s="17" t="s">
        <v>49</v>
      </c>
      <c r="D49" s="18" t="s">
        <v>50</v>
      </c>
      <c r="E49" s="18"/>
      <c r="F49" s="9"/>
      <c r="G49" s="9"/>
      <c r="H49" s="9"/>
      <c r="I49" s="9"/>
    </row>
    <row r="50" spans="1:9" x14ac:dyDescent="0.3">
      <c r="A50" s="10" t="str">
        <f>A43</f>
        <v>Not Admitted</v>
      </c>
      <c r="B50" s="10">
        <f>B43</f>
        <v>244</v>
      </c>
      <c r="C50" s="11">
        <f>C43</f>
        <v>0.47563352826510719</v>
      </c>
    </row>
    <row r="51" spans="1:9" x14ac:dyDescent="0.3">
      <c r="A51" s="10" t="str">
        <f>A42</f>
        <v>Admitted</v>
      </c>
      <c r="B51" s="10">
        <f>B42</f>
        <v>269</v>
      </c>
      <c r="C51" s="11">
        <f>C42</f>
        <v>0.52436647173489281</v>
      </c>
    </row>
    <row r="58" spans="1:9" x14ac:dyDescent="0.3">
      <c r="A58" t="s">
        <v>31</v>
      </c>
    </row>
    <row r="59" spans="1:9" x14ac:dyDescent="0.3">
      <c r="A59" s="2" t="s">
        <v>4</v>
      </c>
      <c r="B59" t="s">
        <v>21</v>
      </c>
    </row>
    <row r="60" spans="1:9" x14ac:dyDescent="0.3">
      <c r="A60" s="3" t="s">
        <v>22</v>
      </c>
      <c r="B60" s="7">
        <v>72</v>
      </c>
    </row>
    <row r="61" spans="1:9" x14ac:dyDescent="0.3">
      <c r="A61" s="3" t="s">
        <v>23</v>
      </c>
      <c r="B61" s="7">
        <v>68</v>
      </c>
    </row>
    <row r="62" spans="1:9" x14ac:dyDescent="0.3">
      <c r="A62" s="3" t="s">
        <v>24</v>
      </c>
      <c r="B62" s="7">
        <v>58</v>
      </c>
    </row>
    <row r="63" spans="1:9" x14ac:dyDescent="0.3">
      <c r="A63" s="3" t="s">
        <v>25</v>
      </c>
      <c r="B63" s="7">
        <v>64</v>
      </c>
    </row>
    <row r="64" spans="1:9" x14ac:dyDescent="0.3">
      <c r="A64" s="3" t="s">
        <v>26</v>
      </c>
      <c r="B64" s="7">
        <v>58</v>
      </c>
    </row>
    <row r="65" spans="1:8" x14ac:dyDescent="0.3">
      <c r="A65" s="3" t="s">
        <v>27</v>
      </c>
      <c r="B65" s="7">
        <v>68</v>
      </c>
    </row>
    <row r="66" spans="1:8" x14ac:dyDescent="0.3">
      <c r="A66" s="3" t="s">
        <v>28</v>
      </c>
      <c r="B66" s="7">
        <v>68</v>
      </c>
    </row>
    <row r="67" spans="1:8" x14ac:dyDescent="0.3">
      <c r="A67" s="3" t="s">
        <v>29</v>
      </c>
      <c r="B67" s="7">
        <v>57</v>
      </c>
      <c r="G67" t="s">
        <v>35</v>
      </c>
    </row>
    <row r="68" spans="1:8" x14ac:dyDescent="0.3">
      <c r="A68" s="3" t="s">
        <v>5</v>
      </c>
      <c r="B68" s="7">
        <v>513</v>
      </c>
      <c r="G68" s="2" t="s">
        <v>4</v>
      </c>
      <c r="H68" t="s">
        <v>34</v>
      </c>
    </row>
    <row r="69" spans="1:8" x14ac:dyDescent="0.3">
      <c r="B69" s="7"/>
      <c r="G69" s="3" t="s">
        <v>33</v>
      </c>
      <c r="H69" s="7">
        <v>316</v>
      </c>
    </row>
    <row r="70" spans="1:8" x14ac:dyDescent="0.3">
      <c r="G70" s="3" t="s">
        <v>368</v>
      </c>
      <c r="H70" s="7">
        <v>197</v>
      </c>
    </row>
    <row r="71" spans="1:8" x14ac:dyDescent="0.3">
      <c r="G71" s="3" t="s">
        <v>5</v>
      </c>
      <c r="H71" s="7">
        <v>513</v>
      </c>
    </row>
    <row r="74" spans="1:8" x14ac:dyDescent="0.3">
      <c r="B74" t="s">
        <v>39</v>
      </c>
    </row>
    <row r="75" spans="1:8" x14ac:dyDescent="0.3">
      <c r="B75" s="2" t="s">
        <v>4</v>
      </c>
      <c r="C75" t="s">
        <v>38</v>
      </c>
    </row>
    <row r="76" spans="1:8" x14ac:dyDescent="0.3">
      <c r="B76" s="3" t="s">
        <v>36</v>
      </c>
      <c r="C76" s="7">
        <v>241</v>
      </c>
    </row>
    <row r="77" spans="1:8" x14ac:dyDescent="0.3">
      <c r="B77" s="3" t="s">
        <v>37</v>
      </c>
      <c r="C77" s="7">
        <v>272</v>
      </c>
      <c r="F77" s="2" t="s">
        <v>4</v>
      </c>
      <c r="G77" t="s">
        <v>48</v>
      </c>
    </row>
    <row r="78" spans="1:8" x14ac:dyDescent="0.3">
      <c r="B78" s="3" t="s">
        <v>5</v>
      </c>
      <c r="C78" s="7">
        <v>513</v>
      </c>
      <c r="F78" s="3" t="s">
        <v>41</v>
      </c>
      <c r="G78" s="7">
        <v>4</v>
      </c>
    </row>
    <row r="79" spans="1:8" x14ac:dyDescent="0.3">
      <c r="F79" s="3" t="s">
        <v>47</v>
      </c>
      <c r="G79" s="7">
        <v>5</v>
      </c>
    </row>
    <row r="80" spans="1:8" x14ac:dyDescent="0.3">
      <c r="F80" s="3" t="s">
        <v>43</v>
      </c>
      <c r="G80" s="7">
        <v>9</v>
      </c>
    </row>
    <row r="81" spans="1:7" x14ac:dyDescent="0.3">
      <c r="F81" s="3" t="s">
        <v>46</v>
      </c>
      <c r="G81" s="7">
        <v>14</v>
      </c>
    </row>
    <row r="82" spans="1:7" x14ac:dyDescent="0.3">
      <c r="F82" s="3" t="s">
        <v>40</v>
      </c>
      <c r="G82" s="7">
        <v>14</v>
      </c>
    </row>
    <row r="83" spans="1:7" x14ac:dyDescent="0.3">
      <c r="F83" s="3" t="s">
        <v>45</v>
      </c>
      <c r="G83" s="7">
        <v>65</v>
      </c>
    </row>
    <row r="84" spans="1:7" x14ac:dyDescent="0.3">
      <c r="F84" s="3" t="s">
        <v>42</v>
      </c>
      <c r="G84" s="7">
        <v>103</v>
      </c>
    </row>
    <row r="85" spans="1:7" x14ac:dyDescent="0.3">
      <c r="F85" s="3" t="s">
        <v>44</v>
      </c>
      <c r="G85" s="7">
        <v>299</v>
      </c>
    </row>
    <row r="86" spans="1:7" x14ac:dyDescent="0.3">
      <c r="F86" s="3" t="s">
        <v>5</v>
      </c>
      <c r="G86" s="7">
        <v>513</v>
      </c>
    </row>
    <row r="87" spans="1:7" x14ac:dyDescent="0.3">
      <c r="A87" s="2" t="s">
        <v>4</v>
      </c>
    </row>
    <row r="88" spans="1:7" x14ac:dyDescent="0.3">
      <c r="A88" s="3" t="s">
        <v>369</v>
      </c>
    </row>
    <row r="89" spans="1:7" x14ac:dyDescent="0.3">
      <c r="A89" s="14" t="s">
        <v>401</v>
      </c>
    </row>
    <row r="90" spans="1:7" x14ac:dyDescent="0.3">
      <c r="A90" s="15" t="s">
        <v>402</v>
      </c>
    </row>
    <row r="91" spans="1:7" x14ac:dyDescent="0.3">
      <c r="A91" s="16">
        <v>45292</v>
      </c>
    </row>
    <row r="92" spans="1:7" x14ac:dyDescent="0.3">
      <c r="A92" s="16">
        <v>45293</v>
      </c>
    </row>
    <row r="93" spans="1:7" x14ac:dyDescent="0.3">
      <c r="A93" s="16">
        <v>45294</v>
      </c>
    </row>
    <row r="94" spans="1:7" x14ac:dyDescent="0.3">
      <c r="A94" s="16">
        <v>45295</v>
      </c>
    </row>
    <row r="95" spans="1:7" x14ac:dyDescent="0.3">
      <c r="A95" s="16">
        <v>45296</v>
      </c>
    </row>
    <row r="96" spans="1:7" x14ac:dyDescent="0.3">
      <c r="A96" s="16">
        <v>45297</v>
      </c>
    </row>
    <row r="97" spans="1:1" x14ac:dyDescent="0.3">
      <c r="A97" s="16">
        <v>45298</v>
      </c>
    </row>
    <row r="98" spans="1:1" x14ac:dyDescent="0.3">
      <c r="A98" s="16">
        <v>45299</v>
      </c>
    </row>
    <row r="99" spans="1:1" x14ac:dyDescent="0.3">
      <c r="A99" s="16">
        <v>45300</v>
      </c>
    </row>
    <row r="100" spans="1:1" x14ac:dyDescent="0.3">
      <c r="A100" s="16">
        <v>45301</v>
      </c>
    </row>
    <row r="101" spans="1:1" x14ac:dyDescent="0.3">
      <c r="A101" s="16">
        <v>45302</v>
      </c>
    </row>
    <row r="102" spans="1:1" x14ac:dyDescent="0.3">
      <c r="A102" s="16">
        <v>45303</v>
      </c>
    </row>
    <row r="103" spans="1:1" x14ac:dyDescent="0.3">
      <c r="A103" s="16">
        <v>45304</v>
      </c>
    </row>
    <row r="104" spans="1:1" x14ac:dyDescent="0.3">
      <c r="A104" s="16">
        <v>45305</v>
      </c>
    </row>
    <row r="105" spans="1:1" x14ac:dyDescent="0.3">
      <c r="A105" s="16">
        <v>45306</v>
      </c>
    </row>
    <row r="106" spans="1:1" x14ac:dyDescent="0.3">
      <c r="A106" s="16">
        <v>45307</v>
      </c>
    </row>
    <row r="107" spans="1:1" x14ac:dyDescent="0.3">
      <c r="A107" s="16">
        <v>45308</v>
      </c>
    </row>
    <row r="108" spans="1:1" x14ac:dyDescent="0.3">
      <c r="A108" s="16">
        <v>45309</v>
      </c>
    </row>
    <row r="109" spans="1:1" x14ac:dyDescent="0.3">
      <c r="A109" s="16">
        <v>45310</v>
      </c>
    </row>
    <row r="110" spans="1:1" x14ac:dyDescent="0.3">
      <c r="A110" s="16">
        <v>45311</v>
      </c>
    </row>
    <row r="111" spans="1:1" x14ac:dyDescent="0.3">
      <c r="A111" s="16">
        <v>45312</v>
      </c>
    </row>
    <row r="112" spans="1:1" x14ac:dyDescent="0.3">
      <c r="A112" s="16">
        <v>45313</v>
      </c>
    </row>
    <row r="113" spans="1:1" x14ac:dyDescent="0.3">
      <c r="A113" s="16">
        <v>45314</v>
      </c>
    </row>
    <row r="114" spans="1:1" x14ac:dyDescent="0.3">
      <c r="A114" s="16">
        <v>45315</v>
      </c>
    </row>
    <row r="115" spans="1:1" x14ac:dyDescent="0.3">
      <c r="A115" s="16">
        <v>45316</v>
      </c>
    </row>
    <row r="116" spans="1:1" x14ac:dyDescent="0.3">
      <c r="A116" s="16">
        <v>45317</v>
      </c>
    </row>
    <row r="117" spans="1:1" x14ac:dyDescent="0.3">
      <c r="A117" s="16">
        <v>45318</v>
      </c>
    </row>
    <row r="118" spans="1:1" x14ac:dyDescent="0.3">
      <c r="A118" s="16">
        <v>45319</v>
      </c>
    </row>
    <row r="119" spans="1:1" x14ac:dyDescent="0.3">
      <c r="A119" s="16">
        <v>45320</v>
      </c>
    </row>
    <row r="120" spans="1:1" x14ac:dyDescent="0.3">
      <c r="A120" s="16">
        <v>45321</v>
      </c>
    </row>
    <row r="121" spans="1:1" x14ac:dyDescent="0.3">
      <c r="A121" s="16">
        <v>45322</v>
      </c>
    </row>
    <row r="122" spans="1:1" x14ac:dyDescent="0.3">
      <c r="A122" s="3" t="s">
        <v>5</v>
      </c>
    </row>
  </sheetData>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2ED2-22E4-4A91-82F7-2945411D3CCA}">
  <dimension ref="A1:P19"/>
  <sheetViews>
    <sheetView tabSelected="1" zoomScale="138" zoomScaleNormal="153" workbookViewId="0"/>
  </sheetViews>
  <sheetFormatPr defaultRowHeight="14.4" x14ac:dyDescent="0.3"/>
  <sheetData>
    <row r="1" spans="1:16" x14ac:dyDescent="0.3">
      <c r="A1" s="12"/>
      <c r="B1" s="12"/>
      <c r="C1" s="12"/>
      <c r="D1" s="12"/>
      <c r="E1" s="12"/>
      <c r="F1" s="12"/>
      <c r="G1" s="12"/>
      <c r="H1" s="12"/>
      <c r="I1" s="12"/>
      <c r="J1" s="12"/>
      <c r="K1" s="12"/>
      <c r="L1" s="12"/>
      <c r="M1" s="9"/>
    </row>
    <row r="2" spans="1:16" x14ac:dyDescent="0.3">
      <c r="A2" s="12"/>
      <c r="B2" s="12"/>
      <c r="C2" s="12"/>
      <c r="D2" s="12"/>
      <c r="E2" s="12"/>
      <c r="F2" s="12"/>
      <c r="G2" s="12"/>
      <c r="H2" s="12"/>
      <c r="I2" s="12"/>
      <c r="J2" s="12"/>
      <c r="K2" s="12"/>
      <c r="L2" s="12"/>
      <c r="M2" s="9"/>
    </row>
    <row r="3" spans="1:16" x14ac:dyDescent="0.3">
      <c r="A3" s="12"/>
      <c r="B3" s="12"/>
      <c r="C3" s="12"/>
      <c r="D3" s="12"/>
      <c r="E3" s="12"/>
      <c r="F3" s="12"/>
      <c r="G3" s="12"/>
      <c r="H3" s="12"/>
      <c r="I3" s="12"/>
      <c r="J3" s="12"/>
      <c r="K3" s="12"/>
      <c r="L3" s="12"/>
      <c r="M3" s="9"/>
    </row>
    <row r="4" spans="1:16" x14ac:dyDescent="0.3">
      <c r="A4" s="12"/>
      <c r="B4" s="12"/>
      <c r="C4" s="12"/>
      <c r="D4" s="12"/>
      <c r="E4" s="12"/>
      <c r="F4" s="12"/>
      <c r="G4" s="12"/>
      <c r="H4" s="12"/>
      <c r="I4" s="12"/>
      <c r="J4" s="12"/>
      <c r="K4" s="12"/>
      <c r="L4" s="12"/>
      <c r="M4" s="9"/>
    </row>
    <row r="5" spans="1:16" x14ac:dyDescent="0.3">
      <c r="A5" s="12"/>
      <c r="B5" s="12"/>
      <c r="C5" s="12"/>
      <c r="D5" s="12"/>
      <c r="E5" s="12"/>
      <c r="F5" s="12"/>
      <c r="G5" s="12"/>
      <c r="H5" s="12"/>
      <c r="I5" s="12"/>
      <c r="J5" s="12"/>
      <c r="K5" s="12"/>
      <c r="L5" s="12"/>
      <c r="M5" s="9"/>
    </row>
    <row r="6" spans="1:16" x14ac:dyDescent="0.3">
      <c r="A6" s="12"/>
      <c r="B6" s="12"/>
      <c r="C6" s="12"/>
      <c r="D6" s="12"/>
      <c r="E6" s="12"/>
      <c r="F6" s="12"/>
      <c r="G6" s="12"/>
      <c r="H6" s="12"/>
      <c r="I6" s="12"/>
      <c r="J6" s="12"/>
      <c r="K6" s="12"/>
      <c r="L6" s="12"/>
      <c r="M6" s="9"/>
    </row>
    <row r="7" spans="1:16" x14ac:dyDescent="0.3">
      <c r="A7" s="12"/>
      <c r="B7" s="12"/>
      <c r="C7" s="12"/>
      <c r="D7" s="12"/>
      <c r="E7" s="12"/>
      <c r="F7" s="12"/>
      <c r="G7" s="12"/>
      <c r="H7" s="12"/>
      <c r="I7" s="12"/>
      <c r="J7" s="12"/>
      <c r="K7" s="12"/>
      <c r="L7" s="12"/>
      <c r="M7" s="9"/>
    </row>
    <row r="8" spans="1:16" x14ac:dyDescent="0.3">
      <c r="A8" s="12"/>
      <c r="B8" s="12"/>
      <c r="C8" s="12"/>
      <c r="D8" s="12"/>
      <c r="E8" s="12"/>
      <c r="F8" s="12"/>
      <c r="G8" s="12"/>
      <c r="H8" s="12"/>
      <c r="I8" s="12"/>
      <c r="J8" s="12"/>
      <c r="K8" s="12"/>
      <c r="L8" s="12"/>
      <c r="M8" s="9"/>
    </row>
    <row r="9" spans="1:16" x14ac:dyDescent="0.3">
      <c r="A9" s="12"/>
      <c r="B9" s="12"/>
      <c r="C9" s="12"/>
      <c r="D9" s="12"/>
      <c r="E9" s="12"/>
      <c r="F9" s="12"/>
      <c r="G9" s="12"/>
      <c r="H9" s="12"/>
      <c r="I9" s="12"/>
      <c r="J9" s="12"/>
      <c r="K9" s="12"/>
      <c r="L9" s="12" t="s">
        <v>20</v>
      </c>
      <c r="M9" s="9"/>
    </row>
    <row r="10" spans="1:16" x14ac:dyDescent="0.3">
      <c r="A10" s="12"/>
      <c r="B10" s="12"/>
      <c r="C10" s="12"/>
      <c r="D10" s="12"/>
      <c r="E10" s="12"/>
      <c r="F10" s="12"/>
      <c r="G10" s="12"/>
      <c r="H10" s="12"/>
      <c r="I10" s="12"/>
      <c r="J10" s="12"/>
      <c r="K10" s="12"/>
      <c r="L10" s="12"/>
      <c r="M10" s="9"/>
    </row>
    <row r="11" spans="1:16" x14ac:dyDescent="0.3">
      <c r="A11" s="12"/>
      <c r="B11" s="12"/>
      <c r="C11" s="12"/>
      <c r="D11" s="12"/>
      <c r="E11" s="12"/>
      <c r="F11" s="12"/>
      <c r="G11" s="12"/>
      <c r="H11" s="12"/>
      <c r="I11" s="12"/>
      <c r="J11" s="12"/>
      <c r="K11" s="12"/>
      <c r="L11" s="12"/>
      <c r="M11" s="9"/>
    </row>
    <row r="12" spans="1:16" x14ac:dyDescent="0.3">
      <c r="A12" s="12"/>
      <c r="B12" s="12"/>
      <c r="C12" s="12"/>
      <c r="D12" s="12"/>
      <c r="E12" s="12"/>
      <c r="F12" s="12"/>
      <c r="G12" s="12"/>
      <c r="H12" s="12"/>
      <c r="I12" s="12"/>
      <c r="J12" s="12"/>
      <c r="K12" s="12"/>
      <c r="L12" s="12"/>
      <c r="M12" s="9"/>
    </row>
    <row r="13" spans="1:16" x14ac:dyDescent="0.3">
      <c r="A13" s="12"/>
      <c r="B13" s="12"/>
      <c r="C13" s="12"/>
      <c r="D13" s="12"/>
      <c r="E13" s="12"/>
      <c r="F13" s="12"/>
      <c r="G13" s="12"/>
      <c r="H13" s="12"/>
      <c r="I13" s="12"/>
      <c r="J13" s="12"/>
      <c r="K13" s="12"/>
      <c r="L13" s="12"/>
      <c r="M13" s="9"/>
    </row>
    <row r="14" spans="1:16" x14ac:dyDescent="0.3">
      <c r="A14" s="12"/>
      <c r="B14" s="12"/>
      <c r="C14" s="12"/>
      <c r="D14" s="12"/>
      <c r="E14" s="12"/>
      <c r="F14" s="12"/>
      <c r="G14" s="12"/>
      <c r="H14" s="12"/>
      <c r="I14" s="12"/>
      <c r="J14" s="12"/>
      <c r="K14" s="12"/>
      <c r="L14" s="12"/>
      <c r="M14" s="9"/>
    </row>
    <row r="15" spans="1:16" x14ac:dyDescent="0.3">
      <c r="A15" s="12"/>
      <c r="B15" s="12"/>
      <c r="C15" s="12"/>
      <c r="D15" s="12"/>
      <c r="E15" s="12"/>
      <c r="F15" s="12"/>
      <c r="G15" s="12"/>
      <c r="H15" s="12"/>
      <c r="I15" s="12"/>
      <c r="J15" s="12"/>
      <c r="K15" s="12"/>
      <c r="L15" s="12"/>
      <c r="M15" s="9"/>
    </row>
    <row r="16" spans="1:16" x14ac:dyDescent="0.3">
      <c r="A16" s="12"/>
      <c r="B16" s="12"/>
      <c r="C16" s="12"/>
      <c r="D16" s="22" t="s">
        <v>30</v>
      </c>
      <c r="E16" s="22"/>
      <c r="F16" s="22"/>
      <c r="G16" s="12"/>
      <c r="H16" s="12"/>
      <c r="I16" s="12"/>
      <c r="J16" s="12"/>
      <c r="K16" s="12"/>
      <c r="L16" s="12"/>
      <c r="M16" s="9"/>
      <c r="N16" s="9"/>
      <c r="O16" s="9"/>
      <c r="P16" s="9"/>
    </row>
    <row r="17" spans="1:12" x14ac:dyDescent="0.3">
      <c r="A17" s="12"/>
      <c r="B17" s="12"/>
      <c r="C17" s="12"/>
      <c r="D17" s="12"/>
      <c r="E17" s="12"/>
      <c r="F17" s="12"/>
      <c r="G17" s="12"/>
      <c r="H17" s="12"/>
      <c r="I17" s="12"/>
      <c r="J17" s="12"/>
      <c r="K17" s="12"/>
      <c r="L17" s="12"/>
    </row>
    <row r="18" spans="1:12" x14ac:dyDescent="0.3">
      <c r="D18" s="13"/>
    </row>
    <row r="19" spans="1:12" x14ac:dyDescent="0.3">
      <c r="F19" s="22"/>
      <c r="G19" s="22"/>
      <c r="H19" s="22"/>
    </row>
  </sheetData>
  <mergeCells count="2">
    <mergeCell ref="F19:H19"/>
    <mergeCell ref="D16:F16"/>
  </mergeCells>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8C1FB-6511-4A22-8BAA-601AA2F7FAF8}">
  <dimension ref="A1:T28"/>
  <sheetViews>
    <sheetView zoomScale="91" zoomScaleNormal="85" workbookViewId="0"/>
  </sheetViews>
  <sheetFormatPr defaultRowHeight="14.4" x14ac:dyDescent="0.3"/>
  <sheetData>
    <row r="1" spans="1:20" x14ac:dyDescent="0.3">
      <c r="A1" s="4"/>
      <c r="B1" s="4"/>
      <c r="C1" s="4"/>
      <c r="D1" s="4"/>
      <c r="E1" s="4"/>
      <c r="F1" s="4"/>
      <c r="G1" s="4"/>
      <c r="H1" s="4"/>
      <c r="I1" s="4"/>
      <c r="J1" s="4"/>
      <c r="K1" s="4"/>
      <c r="L1" s="4"/>
      <c r="M1" s="4"/>
      <c r="N1" s="4"/>
      <c r="O1" s="4"/>
      <c r="P1" s="4"/>
      <c r="Q1" s="4"/>
      <c r="R1" s="4"/>
      <c r="S1" s="4"/>
      <c r="T1" s="4"/>
    </row>
    <row r="2" spans="1:20" x14ac:dyDescent="0.3">
      <c r="A2" s="4"/>
      <c r="B2" s="4"/>
      <c r="C2" s="4"/>
      <c r="D2" s="4"/>
      <c r="E2" s="4"/>
      <c r="F2" s="4"/>
      <c r="G2" s="4"/>
      <c r="H2" s="4"/>
      <c r="I2" s="4"/>
      <c r="J2" s="4"/>
      <c r="K2" s="4"/>
      <c r="L2" s="4"/>
      <c r="M2" s="4"/>
      <c r="N2" s="4"/>
      <c r="O2" s="4"/>
      <c r="P2" s="4"/>
      <c r="Q2" s="4"/>
      <c r="R2" s="4"/>
      <c r="S2" s="4"/>
      <c r="T2" s="4"/>
    </row>
    <row r="3" spans="1:20" x14ac:dyDescent="0.3">
      <c r="A3" s="4"/>
      <c r="B3" s="4"/>
      <c r="C3" s="4"/>
      <c r="D3" s="4"/>
      <c r="E3" s="4"/>
      <c r="F3" s="4"/>
      <c r="G3" s="4"/>
      <c r="H3" s="4"/>
      <c r="I3" s="4"/>
      <c r="J3" s="4"/>
      <c r="K3" s="4"/>
      <c r="L3" s="4"/>
      <c r="M3" s="4"/>
      <c r="N3" s="4"/>
      <c r="O3" s="4"/>
      <c r="P3" s="4"/>
      <c r="Q3" s="4"/>
      <c r="R3" s="4"/>
      <c r="S3" s="4"/>
      <c r="T3" s="4"/>
    </row>
    <row r="4" spans="1:20" x14ac:dyDescent="0.3">
      <c r="A4" s="4"/>
      <c r="B4" s="4"/>
      <c r="C4" s="4"/>
      <c r="D4" s="4"/>
      <c r="E4" s="4"/>
      <c r="F4" s="4"/>
      <c r="G4" s="4"/>
      <c r="H4" s="4"/>
      <c r="I4" s="4"/>
      <c r="J4" s="4"/>
      <c r="K4" s="4"/>
      <c r="L4" s="4"/>
      <c r="M4" s="4"/>
      <c r="N4" s="4"/>
      <c r="O4" s="4"/>
      <c r="P4" s="4"/>
      <c r="Q4" s="4"/>
      <c r="R4" s="4"/>
      <c r="S4" s="4"/>
      <c r="T4" s="4"/>
    </row>
    <row r="5" spans="1:20" x14ac:dyDescent="0.3">
      <c r="A5" s="4"/>
      <c r="B5" s="4"/>
      <c r="C5" s="4"/>
      <c r="D5" s="4"/>
      <c r="E5" s="4"/>
      <c r="F5" s="4"/>
      <c r="G5" s="4"/>
      <c r="H5" s="4"/>
      <c r="I5" s="4"/>
      <c r="J5" s="4"/>
      <c r="K5" s="4"/>
      <c r="L5" s="4"/>
      <c r="M5" s="4"/>
      <c r="N5" s="4"/>
      <c r="O5" s="4"/>
      <c r="P5" s="4"/>
      <c r="Q5" s="4"/>
      <c r="R5" s="4"/>
      <c r="S5" s="4"/>
      <c r="T5" s="4"/>
    </row>
    <row r="6" spans="1:20" x14ac:dyDescent="0.3">
      <c r="A6" s="4"/>
      <c r="B6" s="4"/>
      <c r="C6" s="4"/>
      <c r="D6" s="4"/>
      <c r="E6" s="4"/>
      <c r="F6" s="4"/>
      <c r="G6" s="4"/>
      <c r="H6" s="4"/>
      <c r="I6" s="4"/>
      <c r="J6" s="4"/>
      <c r="K6" s="4"/>
      <c r="L6" s="4"/>
      <c r="M6" s="4"/>
      <c r="N6" s="4"/>
      <c r="O6" s="4"/>
      <c r="P6" s="4"/>
      <c r="Q6" s="4"/>
      <c r="R6" s="4"/>
      <c r="S6" s="4"/>
      <c r="T6" s="4"/>
    </row>
    <row r="7" spans="1:20" x14ac:dyDescent="0.3">
      <c r="A7" s="4"/>
      <c r="B7" s="4"/>
      <c r="C7" s="4"/>
      <c r="D7" s="4"/>
      <c r="E7" s="4"/>
      <c r="F7" s="4"/>
      <c r="G7" s="4"/>
      <c r="H7" s="4"/>
      <c r="I7" s="4"/>
      <c r="J7" s="4"/>
      <c r="K7" s="4"/>
      <c r="L7" s="4"/>
      <c r="M7" s="4"/>
      <c r="N7" s="4"/>
      <c r="O7" s="4"/>
      <c r="P7" s="4"/>
      <c r="Q7" s="4"/>
      <c r="R7" s="4"/>
      <c r="S7" s="4"/>
      <c r="T7" s="4"/>
    </row>
    <row r="8" spans="1:20" x14ac:dyDescent="0.3">
      <c r="A8" s="4"/>
      <c r="B8" s="4"/>
      <c r="C8" s="4"/>
      <c r="D8" s="4"/>
      <c r="E8" s="4"/>
      <c r="F8" s="4"/>
      <c r="G8" s="4"/>
      <c r="H8" s="4"/>
      <c r="I8" s="4"/>
      <c r="J8" s="4"/>
      <c r="K8" s="4"/>
      <c r="L8" s="4"/>
      <c r="M8" s="4"/>
      <c r="N8" s="4"/>
      <c r="O8" s="4"/>
      <c r="P8" s="4"/>
      <c r="Q8" s="4"/>
      <c r="R8" s="4"/>
      <c r="S8" s="4"/>
      <c r="T8" s="4"/>
    </row>
    <row r="9" spans="1:20" x14ac:dyDescent="0.3">
      <c r="A9" s="4"/>
      <c r="B9" s="4"/>
      <c r="C9" s="4"/>
      <c r="D9" s="4"/>
      <c r="E9" s="4"/>
      <c r="F9" s="4"/>
      <c r="G9" s="4"/>
      <c r="H9" s="4"/>
      <c r="I9" s="4"/>
      <c r="J9" s="4"/>
      <c r="K9" s="4"/>
      <c r="L9" s="4"/>
      <c r="M9" s="4"/>
      <c r="N9" s="4"/>
      <c r="O9" s="4"/>
      <c r="P9" s="4"/>
      <c r="Q9" s="4"/>
      <c r="R9" s="4"/>
      <c r="S9" s="4"/>
      <c r="T9" s="4"/>
    </row>
    <row r="10" spans="1:20" x14ac:dyDescent="0.3">
      <c r="A10" s="4"/>
      <c r="B10" s="4"/>
      <c r="C10" s="4"/>
      <c r="D10" s="4"/>
      <c r="E10" s="4"/>
      <c r="F10" s="4"/>
      <c r="G10" s="4"/>
      <c r="H10" s="4"/>
      <c r="I10" s="4"/>
      <c r="J10" s="4"/>
      <c r="K10" s="4"/>
      <c r="L10" s="4"/>
      <c r="M10" s="4"/>
      <c r="N10" s="4"/>
      <c r="O10" s="4"/>
      <c r="P10" s="4"/>
      <c r="Q10" s="4"/>
      <c r="R10" s="4"/>
      <c r="S10" s="4"/>
      <c r="T10" s="4"/>
    </row>
    <row r="11" spans="1:20" x14ac:dyDescent="0.3">
      <c r="A11" s="4"/>
      <c r="B11" s="4"/>
      <c r="C11" s="4"/>
      <c r="D11" s="4"/>
      <c r="E11" s="4"/>
      <c r="F11" s="4"/>
      <c r="G11" s="4"/>
      <c r="H11" s="4"/>
      <c r="I11" s="4"/>
      <c r="J11" s="4"/>
      <c r="K11" s="4"/>
      <c r="L11" s="4"/>
      <c r="M11" s="4"/>
      <c r="N11" s="4"/>
      <c r="O11" s="4"/>
      <c r="P11" s="4"/>
      <c r="Q11" s="4"/>
      <c r="R11" s="4"/>
      <c r="S11" s="4"/>
      <c r="T11" s="4"/>
    </row>
    <row r="12" spans="1:20" x14ac:dyDescent="0.3">
      <c r="A12" s="4"/>
      <c r="B12" s="4"/>
      <c r="C12" s="4"/>
      <c r="D12" s="4"/>
      <c r="E12" s="4"/>
      <c r="F12" s="4"/>
      <c r="G12" s="4"/>
      <c r="H12" s="4"/>
      <c r="I12" s="4"/>
      <c r="J12" s="4"/>
      <c r="K12" s="4"/>
      <c r="L12" s="4"/>
      <c r="M12" s="4"/>
      <c r="N12" s="4"/>
      <c r="O12" s="4"/>
      <c r="P12" s="4"/>
      <c r="Q12" s="4"/>
      <c r="R12" s="4"/>
      <c r="S12" s="4"/>
      <c r="T12" s="4"/>
    </row>
    <row r="13" spans="1:20" x14ac:dyDescent="0.3">
      <c r="A13" s="4"/>
      <c r="B13" s="4"/>
      <c r="C13" s="4"/>
      <c r="D13" s="4"/>
      <c r="E13" s="4"/>
      <c r="F13" s="4"/>
      <c r="G13" s="4"/>
      <c r="H13" s="4"/>
      <c r="I13" s="4"/>
      <c r="J13" s="4"/>
      <c r="K13" s="4"/>
      <c r="L13" s="4"/>
      <c r="M13" s="4"/>
      <c r="N13" s="4"/>
      <c r="O13" s="4"/>
      <c r="P13" s="4"/>
      <c r="Q13" s="4"/>
      <c r="R13" s="4"/>
      <c r="S13" s="4"/>
      <c r="T13" s="4"/>
    </row>
    <row r="14" spans="1:20" x14ac:dyDescent="0.3">
      <c r="A14" s="4"/>
      <c r="B14" s="4"/>
      <c r="C14" s="4"/>
      <c r="D14" s="4"/>
      <c r="E14" s="4"/>
      <c r="F14" s="4"/>
      <c r="G14" s="4"/>
      <c r="H14" s="4"/>
      <c r="I14" s="4"/>
      <c r="J14" s="4"/>
      <c r="K14" s="4"/>
      <c r="L14" s="4"/>
      <c r="M14" s="4"/>
      <c r="N14" s="4"/>
      <c r="O14" s="4"/>
      <c r="P14" s="4"/>
      <c r="Q14" s="4"/>
      <c r="R14" s="4"/>
      <c r="S14" s="4"/>
      <c r="T14" s="4"/>
    </row>
    <row r="15" spans="1:20" x14ac:dyDescent="0.3">
      <c r="A15" s="4"/>
      <c r="B15" s="4"/>
      <c r="C15" s="4"/>
      <c r="D15" s="4"/>
      <c r="E15" s="4"/>
      <c r="F15" s="4"/>
      <c r="G15" s="4"/>
      <c r="H15" s="4"/>
      <c r="I15" s="4"/>
      <c r="J15" s="4"/>
      <c r="K15" s="4"/>
      <c r="L15" s="4"/>
      <c r="M15" s="4"/>
      <c r="N15" s="4"/>
      <c r="O15" s="4"/>
      <c r="P15" s="4"/>
      <c r="Q15" s="4"/>
      <c r="R15" s="4"/>
      <c r="S15" s="4"/>
      <c r="T15" s="4"/>
    </row>
    <row r="16" spans="1:20" x14ac:dyDescent="0.3">
      <c r="A16" s="4"/>
      <c r="B16" s="4"/>
      <c r="C16" s="4"/>
      <c r="D16" s="4"/>
      <c r="E16" s="4"/>
      <c r="F16" s="4"/>
      <c r="G16" s="4"/>
      <c r="H16" s="4"/>
      <c r="I16" s="4"/>
      <c r="J16" s="4"/>
      <c r="K16" s="4"/>
      <c r="L16" s="4"/>
      <c r="M16" s="4"/>
      <c r="N16" s="4"/>
      <c r="O16" s="4"/>
      <c r="P16" s="4"/>
      <c r="Q16" s="4"/>
      <c r="R16" s="4"/>
      <c r="S16" s="4"/>
      <c r="T16" s="4"/>
    </row>
    <row r="17" spans="1:20" x14ac:dyDescent="0.3">
      <c r="A17" s="4"/>
      <c r="B17" s="4"/>
      <c r="C17" s="4"/>
      <c r="D17" s="4"/>
      <c r="E17" s="4"/>
      <c r="F17" s="4"/>
      <c r="G17" s="4"/>
      <c r="H17" s="4"/>
      <c r="I17" s="4"/>
      <c r="J17" s="4"/>
      <c r="K17" s="4"/>
      <c r="L17" s="4"/>
      <c r="M17" s="4"/>
      <c r="N17" s="4"/>
      <c r="O17" s="4"/>
      <c r="P17" s="4"/>
      <c r="Q17" s="4"/>
      <c r="R17" s="4"/>
      <c r="S17" s="4"/>
      <c r="T17" s="4"/>
    </row>
    <row r="18" spans="1:20" x14ac:dyDescent="0.3">
      <c r="A18" s="4"/>
      <c r="B18" s="4"/>
      <c r="C18" s="4"/>
      <c r="D18" s="4"/>
      <c r="E18" s="4"/>
      <c r="F18" s="4"/>
      <c r="G18" s="4"/>
      <c r="H18" s="4"/>
      <c r="I18" s="4"/>
      <c r="J18" s="4"/>
      <c r="K18" s="4"/>
      <c r="L18" s="4"/>
      <c r="M18" s="4"/>
      <c r="N18" s="4"/>
      <c r="O18" s="4"/>
      <c r="P18" s="4"/>
      <c r="Q18" s="4"/>
      <c r="R18" s="4"/>
      <c r="S18" s="4"/>
      <c r="T18" s="4"/>
    </row>
    <row r="19" spans="1:20" x14ac:dyDescent="0.3">
      <c r="A19" s="4"/>
      <c r="B19" s="4"/>
      <c r="C19" s="4"/>
      <c r="D19" s="4"/>
      <c r="E19" s="4"/>
      <c r="F19" s="4"/>
      <c r="G19" s="4"/>
      <c r="H19" s="4"/>
      <c r="I19" s="4"/>
      <c r="J19" s="4"/>
      <c r="K19" s="4"/>
      <c r="L19" s="4"/>
      <c r="M19" s="4"/>
      <c r="N19" s="4"/>
      <c r="O19" s="4"/>
      <c r="P19" s="4"/>
      <c r="Q19" s="4"/>
      <c r="R19" s="4"/>
      <c r="S19" s="4"/>
      <c r="T19" s="4"/>
    </row>
    <row r="20" spans="1:20" x14ac:dyDescent="0.3">
      <c r="A20" s="4"/>
      <c r="B20" s="4"/>
      <c r="C20" s="4"/>
      <c r="D20" s="4"/>
      <c r="E20" s="4"/>
      <c r="F20" s="4"/>
      <c r="G20" s="4"/>
      <c r="H20" s="4"/>
      <c r="I20" s="4"/>
      <c r="J20" s="4"/>
      <c r="K20" s="4"/>
      <c r="L20" s="4"/>
      <c r="M20" s="4"/>
      <c r="N20" s="4"/>
      <c r="O20" s="4"/>
      <c r="P20" s="4"/>
      <c r="Q20" s="4"/>
      <c r="R20" s="4"/>
      <c r="S20" s="4"/>
      <c r="T20" s="4"/>
    </row>
    <row r="21" spans="1:20" x14ac:dyDescent="0.3">
      <c r="A21" s="4"/>
      <c r="B21" s="4"/>
      <c r="C21" s="4"/>
      <c r="D21" s="4"/>
      <c r="E21" s="4"/>
      <c r="F21" s="4"/>
      <c r="G21" s="4"/>
      <c r="H21" s="4"/>
      <c r="I21" s="4"/>
      <c r="J21" s="4"/>
      <c r="K21" s="4"/>
      <c r="L21" s="4"/>
      <c r="M21" s="4"/>
      <c r="N21" s="4"/>
      <c r="O21" s="4"/>
      <c r="P21" s="4"/>
      <c r="Q21" s="4"/>
      <c r="R21" s="4"/>
      <c r="S21" s="4"/>
      <c r="T21" s="4"/>
    </row>
    <row r="22" spans="1:20" x14ac:dyDescent="0.3">
      <c r="A22" s="4"/>
      <c r="B22" s="4"/>
      <c r="C22" s="4"/>
      <c r="D22" s="4"/>
      <c r="E22" s="4"/>
      <c r="F22" s="4"/>
      <c r="G22" s="4"/>
      <c r="H22" s="4"/>
      <c r="I22" s="4"/>
      <c r="J22" s="4"/>
      <c r="K22" s="4"/>
      <c r="L22" s="4"/>
      <c r="M22" s="4"/>
      <c r="N22" s="4"/>
      <c r="O22" s="4"/>
      <c r="P22" s="4"/>
      <c r="Q22" s="4"/>
      <c r="R22" s="4"/>
      <c r="S22" s="4"/>
      <c r="T22" s="4"/>
    </row>
    <row r="23" spans="1:20" ht="21" x14ac:dyDescent="0.4">
      <c r="A23" s="4"/>
      <c r="B23" s="6" t="s">
        <v>11</v>
      </c>
      <c r="C23" s="4"/>
      <c r="D23" s="4"/>
      <c r="E23" s="4"/>
      <c r="F23" s="4"/>
      <c r="G23" s="4"/>
      <c r="H23" s="4"/>
      <c r="I23" s="4"/>
      <c r="J23" s="4"/>
      <c r="K23" s="4"/>
      <c r="L23" s="4"/>
      <c r="M23" s="4"/>
      <c r="N23" s="4"/>
      <c r="O23" s="4"/>
      <c r="P23" s="4"/>
      <c r="Q23" s="4"/>
      <c r="R23" s="4"/>
      <c r="S23" s="4"/>
      <c r="T23" s="4"/>
    </row>
    <row r="24" spans="1:20" x14ac:dyDescent="0.3">
      <c r="A24" s="4"/>
      <c r="B24" s="4"/>
      <c r="C24" s="4"/>
      <c r="D24" s="4"/>
      <c r="E24" s="4"/>
      <c r="F24" s="4"/>
      <c r="G24" s="4"/>
      <c r="H24" s="4"/>
      <c r="I24" s="4"/>
      <c r="J24" s="4"/>
      <c r="K24" s="4"/>
      <c r="L24" s="4"/>
      <c r="M24" s="4"/>
      <c r="N24" s="4"/>
      <c r="O24" s="4"/>
      <c r="P24" s="4"/>
      <c r="Q24" s="4"/>
      <c r="R24" s="4"/>
      <c r="S24" s="4"/>
      <c r="T24" s="4"/>
    </row>
    <row r="25" spans="1:20" x14ac:dyDescent="0.3">
      <c r="A25" s="4"/>
      <c r="B25" s="4"/>
      <c r="C25" s="4"/>
      <c r="D25" s="4"/>
      <c r="E25" s="4"/>
      <c r="F25" s="4"/>
      <c r="G25" s="4"/>
      <c r="H25" s="4"/>
      <c r="I25" s="4"/>
      <c r="J25" s="4"/>
      <c r="K25" s="4"/>
      <c r="L25" s="4"/>
      <c r="M25" s="4"/>
      <c r="N25" s="4"/>
      <c r="O25" s="4"/>
      <c r="P25" s="4"/>
      <c r="Q25" s="4"/>
      <c r="R25" s="4"/>
      <c r="S25" s="4"/>
      <c r="T25" s="4"/>
    </row>
    <row r="26" spans="1:20" x14ac:dyDescent="0.3">
      <c r="A26" s="4"/>
      <c r="B26" s="4"/>
      <c r="C26" s="4"/>
      <c r="D26" s="4"/>
      <c r="E26" s="4"/>
      <c r="F26" s="4"/>
      <c r="G26" s="4"/>
      <c r="H26" s="4"/>
      <c r="I26" s="4"/>
      <c r="J26" s="4"/>
      <c r="K26" s="4"/>
      <c r="L26" s="4"/>
      <c r="M26" s="4"/>
      <c r="N26" s="4"/>
      <c r="O26" s="4"/>
      <c r="P26" s="4"/>
      <c r="Q26" s="4"/>
      <c r="R26" s="4"/>
      <c r="S26" s="4"/>
      <c r="T26" s="4"/>
    </row>
    <row r="27" spans="1:20" x14ac:dyDescent="0.3">
      <c r="A27" s="4"/>
      <c r="B27" s="4"/>
      <c r="C27" s="4"/>
      <c r="D27" s="4"/>
      <c r="E27" s="4"/>
      <c r="F27" s="4"/>
      <c r="G27" s="4"/>
      <c r="H27" s="4"/>
      <c r="I27" s="4"/>
      <c r="J27" s="4"/>
      <c r="K27" s="4"/>
      <c r="L27" s="4"/>
      <c r="M27" s="4"/>
      <c r="N27" s="4"/>
      <c r="O27" s="4"/>
      <c r="P27" s="4"/>
      <c r="Q27" s="4"/>
      <c r="R27" s="4"/>
      <c r="S27" s="4"/>
      <c r="T27" s="4"/>
    </row>
    <row r="28" spans="1:20" x14ac:dyDescent="0.3">
      <c r="A28" s="4"/>
      <c r="B28" s="4"/>
      <c r="C28" s="4"/>
      <c r="D28" s="4"/>
      <c r="E28" s="4"/>
      <c r="F28" s="4"/>
      <c r="G28" s="4"/>
      <c r="H28" s="4"/>
      <c r="I28" s="4"/>
      <c r="J28" s="4"/>
      <c r="K28" s="4"/>
      <c r="L28" s="4"/>
      <c r="M28" s="4"/>
      <c r="N28" s="4"/>
      <c r="O28" s="4"/>
      <c r="P28" s="4"/>
      <c r="Q28" s="4"/>
      <c r="R28" s="4"/>
      <c r="S28" s="4"/>
      <c r="T28" s="4"/>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51C36-3E71-415F-92E5-E04ABF7ECF40}">
  <dimension ref="A1:N15"/>
  <sheetViews>
    <sheetView zoomScale="147" zoomScaleNormal="160" workbookViewId="0"/>
  </sheetViews>
  <sheetFormatPr defaultRowHeight="14.4" x14ac:dyDescent="0.3"/>
  <sheetData>
    <row r="1" spans="1:14" x14ac:dyDescent="0.3">
      <c r="A1" s="4"/>
      <c r="B1" s="4"/>
      <c r="C1" s="4"/>
      <c r="D1" s="4"/>
      <c r="E1" s="4"/>
      <c r="F1" s="4"/>
      <c r="G1" s="4"/>
      <c r="H1" s="4"/>
      <c r="I1" s="4"/>
      <c r="J1" s="4"/>
      <c r="K1" s="4"/>
      <c r="L1" s="4"/>
      <c r="M1" s="4"/>
      <c r="N1" s="4"/>
    </row>
    <row r="2" spans="1:14" x14ac:dyDescent="0.3">
      <c r="A2" s="4"/>
      <c r="B2" s="4"/>
      <c r="C2" s="4"/>
      <c r="D2" s="4"/>
      <c r="E2" s="4"/>
      <c r="F2" s="4"/>
      <c r="G2" s="4"/>
      <c r="H2" s="4"/>
      <c r="I2" s="4"/>
      <c r="J2" s="4"/>
      <c r="K2" s="4"/>
      <c r="L2" s="4"/>
      <c r="M2" s="4"/>
      <c r="N2" s="4"/>
    </row>
    <row r="3" spans="1:14" x14ac:dyDescent="0.3">
      <c r="A3" s="4"/>
      <c r="B3" s="4"/>
      <c r="C3" s="4"/>
      <c r="D3" s="4"/>
      <c r="E3" s="4"/>
      <c r="F3" s="4"/>
      <c r="G3" s="4"/>
      <c r="H3" s="4"/>
      <c r="I3" s="4"/>
      <c r="J3" s="4"/>
      <c r="K3" s="4"/>
      <c r="L3" s="4"/>
      <c r="M3" s="4"/>
      <c r="N3" s="4"/>
    </row>
    <row r="4" spans="1:14" x14ac:dyDescent="0.3">
      <c r="A4" s="4"/>
      <c r="B4" s="4"/>
      <c r="C4" s="4"/>
      <c r="D4" s="4"/>
      <c r="E4" s="4"/>
      <c r="F4" s="4"/>
      <c r="G4" s="4"/>
      <c r="H4" s="4"/>
      <c r="I4" s="4"/>
      <c r="J4" s="4"/>
      <c r="K4" s="4"/>
      <c r="L4" s="4"/>
      <c r="M4" s="4"/>
      <c r="N4" s="4"/>
    </row>
    <row r="5" spans="1:14" x14ac:dyDescent="0.3">
      <c r="A5" s="4"/>
      <c r="B5" s="4"/>
      <c r="C5" s="4"/>
      <c r="D5" s="4"/>
      <c r="E5" s="4"/>
      <c r="F5" s="4"/>
      <c r="G5" s="4"/>
      <c r="H5" s="4"/>
      <c r="I5" s="4"/>
      <c r="J5" s="4"/>
      <c r="K5" s="4"/>
      <c r="L5" s="4"/>
      <c r="M5" s="4"/>
      <c r="N5" s="4"/>
    </row>
    <row r="6" spans="1:14" x14ac:dyDescent="0.3">
      <c r="A6" s="4"/>
      <c r="B6" s="4"/>
      <c r="C6" s="4"/>
      <c r="D6" s="4"/>
      <c r="E6" s="4"/>
      <c r="F6" s="4"/>
      <c r="G6" s="4"/>
      <c r="H6" s="4"/>
      <c r="I6" s="4"/>
      <c r="J6" s="4"/>
      <c r="K6" s="4"/>
      <c r="L6" s="4"/>
      <c r="M6" s="4"/>
      <c r="N6" s="4"/>
    </row>
    <row r="7" spans="1:14" x14ac:dyDescent="0.3">
      <c r="A7" s="4"/>
      <c r="B7" s="4"/>
      <c r="C7" s="4"/>
      <c r="D7" s="4"/>
      <c r="E7" s="4"/>
      <c r="F7" s="4"/>
      <c r="G7" s="4"/>
      <c r="H7" s="4"/>
      <c r="I7" s="4"/>
      <c r="J7" s="4"/>
      <c r="K7" s="4"/>
      <c r="L7" s="4"/>
      <c r="M7" s="4"/>
      <c r="N7" s="4"/>
    </row>
    <row r="8" spans="1:14" x14ac:dyDescent="0.3">
      <c r="A8" s="4"/>
      <c r="B8" s="4"/>
      <c r="C8" s="4"/>
      <c r="D8" s="4"/>
      <c r="E8" s="4"/>
      <c r="F8" s="4"/>
      <c r="G8" s="4"/>
      <c r="H8" s="4"/>
      <c r="I8" s="4"/>
      <c r="J8" s="4"/>
      <c r="K8" s="4"/>
      <c r="L8" s="4"/>
      <c r="M8" s="4"/>
      <c r="N8" s="4"/>
    </row>
    <row r="9" spans="1:14" x14ac:dyDescent="0.3">
      <c r="A9" s="4"/>
      <c r="B9" s="4"/>
      <c r="C9" s="4"/>
      <c r="D9" s="4"/>
      <c r="E9" s="4"/>
      <c r="F9" s="4"/>
      <c r="G9" s="4"/>
      <c r="H9" s="4"/>
      <c r="I9" s="4"/>
      <c r="J9" s="4"/>
      <c r="K9" s="4"/>
      <c r="L9" s="4"/>
      <c r="M9" s="4"/>
      <c r="N9" s="4"/>
    </row>
    <row r="10" spans="1:14" x14ac:dyDescent="0.3">
      <c r="A10" s="4"/>
      <c r="B10" s="4"/>
      <c r="C10" s="4"/>
      <c r="D10" s="4"/>
      <c r="E10" s="4"/>
      <c r="F10" s="4"/>
      <c r="G10" s="4"/>
      <c r="H10" s="4"/>
      <c r="I10" s="4"/>
      <c r="J10" s="4"/>
      <c r="K10" s="4"/>
      <c r="L10" s="4"/>
      <c r="M10" s="4"/>
      <c r="N10" s="4"/>
    </row>
    <row r="11" spans="1:14" x14ac:dyDescent="0.3">
      <c r="A11" s="4"/>
      <c r="B11" s="4"/>
      <c r="C11" s="4"/>
      <c r="D11" s="4"/>
      <c r="E11" s="4"/>
      <c r="F11" s="4"/>
      <c r="G11" s="4"/>
      <c r="H11" s="4"/>
      <c r="I11" s="4"/>
      <c r="J11" s="4"/>
      <c r="K11" s="4"/>
      <c r="L11" s="4"/>
      <c r="M11" s="4"/>
      <c r="N11" s="4"/>
    </row>
    <row r="12" spans="1:14" x14ac:dyDescent="0.3">
      <c r="A12" s="4"/>
      <c r="B12" s="4"/>
      <c r="C12" s="4"/>
      <c r="D12" s="4"/>
      <c r="E12" s="4"/>
      <c r="F12" s="4"/>
      <c r="G12" s="4"/>
      <c r="H12" s="4"/>
      <c r="I12" s="4"/>
      <c r="J12" s="4"/>
      <c r="K12" s="4"/>
      <c r="L12" s="4"/>
      <c r="M12" s="4"/>
      <c r="N12" s="4"/>
    </row>
    <row r="13" spans="1:14" x14ac:dyDescent="0.3">
      <c r="A13" s="4"/>
      <c r="B13" s="4"/>
      <c r="C13" s="4"/>
      <c r="D13" s="4"/>
      <c r="E13" s="4"/>
      <c r="F13" s="4"/>
      <c r="G13" s="4"/>
      <c r="H13" s="4"/>
      <c r="I13" s="4"/>
      <c r="J13" s="4"/>
      <c r="K13" s="4"/>
      <c r="L13" s="4"/>
      <c r="M13" s="4"/>
      <c r="N13" s="4"/>
    </row>
    <row r="14" spans="1:14" x14ac:dyDescent="0.3">
      <c r="A14" s="4"/>
      <c r="B14" s="4"/>
      <c r="C14" s="4"/>
      <c r="D14" s="4"/>
      <c r="E14" s="4"/>
      <c r="F14" s="4"/>
      <c r="G14" s="4"/>
      <c r="H14" s="4"/>
      <c r="I14" s="4"/>
      <c r="J14" s="4"/>
      <c r="K14" s="4"/>
      <c r="L14" s="4"/>
      <c r="M14" s="4"/>
      <c r="N14" s="4"/>
    </row>
    <row r="15" spans="1:14" x14ac:dyDescent="0.3">
      <c r="A15" s="4"/>
      <c r="B15" s="4"/>
      <c r="C15" s="4"/>
      <c r="D15" s="4" t="s">
        <v>6</v>
      </c>
      <c r="E15" s="4"/>
      <c r="F15" s="4"/>
      <c r="G15" s="4"/>
      <c r="H15" s="4"/>
      <c r="I15" s="4"/>
      <c r="J15" s="4"/>
      <c r="K15" s="4"/>
      <c r="L15" s="4" t="s">
        <v>7</v>
      </c>
      <c r="M15" s="4"/>
      <c r="N15" s="4"/>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F7CDE-91F4-4265-AEFD-F973DEF481C1}">
  <dimension ref="A1:T28"/>
  <sheetViews>
    <sheetView zoomScale="85" zoomScaleNormal="85" workbookViewId="0"/>
  </sheetViews>
  <sheetFormatPr defaultRowHeight="14.4" x14ac:dyDescent="0.3"/>
  <sheetData>
    <row r="1" spans="1:20" x14ac:dyDescent="0.3">
      <c r="A1" s="4"/>
      <c r="B1" s="4"/>
      <c r="C1" s="4"/>
      <c r="D1" s="4"/>
      <c r="E1" s="4"/>
      <c r="F1" s="4"/>
      <c r="G1" s="4"/>
      <c r="H1" s="4"/>
      <c r="I1" s="4"/>
      <c r="J1" s="4"/>
      <c r="K1" s="4"/>
      <c r="L1" s="4"/>
      <c r="M1" s="4"/>
      <c r="N1" s="4"/>
      <c r="O1" s="4"/>
      <c r="P1" s="4"/>
      <c r="Q1" s="4"/>
      <c r="R1" s="4"/>
      <c r="S1" s="4"/>
      <c r="T1" s="4"/>
    </row>
    <row r="2" spans="1:20" x14ac:dyDescent="0.3">
      <c r="A2" s="4"/>
      <c r="B2" s="4"/>
      <c r="C2" s="4"/>
      <c r="D2" s="4"/>
      <c r="E2" s="4"/>
      <c r="F2" s="4"/>
      <c r="G2" s="4"/>
      <c r="H2" s="4"/>
      <c r="I2" s="4"/>
      <c r="J2" s="4"/>
      <c r="K2" s="4"/>
      <c r="L2" s="4"/>
      <c r="M2" s="4"/>
      <c r="N2" s="4"/>
      <c r="O2" s="4"/>
      <c r="P2" s="4"/>
      <c r="Q2" s="4"/>
      <c r="R2" s="4"/>
      <c r="S2" s="4"/>
      <c r="T2" s="4"/>
    </row>
    <row r="3" spans="1:20" x14ac:dyDescent="0.3">
      <c r="A3" s="4"/>
      <c r="B3" s="4"/>
      <c r="C3" s="4"/>
      <c r="D3" s="4"/>
      <c r="E3" s="4"/>
      <c r="F3" s="4"/>
      <c r="G3" s="4"/>
      <c r="H3" s="4"/>
      <c r="I3" s="4"/>
      <c r="J3" s="4"/>
      <c r="K3" s="4"/>
      <c r="L3" s="4"/>
      <c r="M3" s="4"/>
      <c r="N3" s="4"/>
      <c r="O3" s="4"/>
      <c r="P3" s="4"/>
      <c r="Q3" s="4"/>
      <c r="R3" s="4"/>
      <c r="S3" s="4"/>
      <c r="T3" s="4"/>
    </row>
    <row r="4" spans="1:20" x14ac:dyDescent="0.3">
      <c r="A4" s="4"/>
      <c r="B4" s="4"/>
      <c r="C4" s="4"/>
      <c r="D4" s="4"/>
      <c r="E4" s="4"/>
      <c r="F4" s="4"/>
      <c r="G4" s="4"/>
      <c r="H4" s="4"/>
      <c r="I4" s="4"/>
      <c r="J4" s="4"/>
      <c r="K4" s="4"/>
      <c r="L4" s="4"/>
      <c r="M4" s="4"/>
      <c r="N4" s="4"/>
      <c r="O4" s="4"/>
      <c r="P4" s="4"/>
      <c r="Q4" s="4"/>
      <c r="R4" s="4"/>
      <c r="S4" s="4"/>
      <c r="T4" s="4"/>
    </row>
    <row r="5" spans="1:20" x14ac:dyDescent="0.3">
      <c r="A5" s="4"/>
      <c r="B5" s="4"/>
      <c r="C5" s="4"/>
      <c r="D5" s="4"/>
      <c r="E5" s="4"/>
      <c r="F5" s="4"/>
      <c r="G5" s="4"/>
      <c r="H5" s="4"/>
      <c r="I5" s="4"/>
      <c r="J5" s="4"/>
      <c r="K5" s="4"/>
      <c r="L5" s="4"/>
      <c r="M5" s="4"/>
      <c r="N5" s="4"/>
      <c r="O5" s="4"/>
      <c r="P5" s="4"/>
      <c r="Q5" s="4"/>
      <c r="R5" s="4"/>
      <c r="S5" s="4"/>
      <c r="T5" s="4"/>
    </row>
    <row r="6" spans="1:20" x14ac:dyDescent="0.3">
      <c r="A6" s="4"/>
      <c r="B6" s="4"/>
      <c r="C6" s="4"/>
      <c r="D6" s="4"/>
      <c r="E6" s="4"/>
      <c r="F6" s="4"/>
      <c r="G6" s="4"/>
      <c r="H6" s="4"/>
      <c r="I6" s="4"/>
      <c r="J6" s="4"/>
      <c r="K6" s="4"/>
      <c r="L6" s="4"/>
      <c r="M6" s="4"/>
      <c r="N6" s="4"/>
      <c r="O6" s="4"/>
      <c r="P6" s="4"/>
      <c r="Q6" s="4"/>
      <c r="R6" s="4"/>
      <c r="S6" s="4"/>
      <c r="T6" s="4"/>
    </row>
    <row r="7" spans="1:20" x14ac:dyDescent="0.3">
      <c r="A7" s="4"/>
      <c r="B7" s="4"/>
      <c r="C7" s="4"/>
      <c r="D7" s="4"/>
      <c r="E7" s="4"/>
      <c r="F7" s="4"/>
      <c r="G7" s="4"/>
      <c r="H7" s="4"/>
      <c r="I7" s="4"/>
      <c r="J7" s="4"/>
      <c r="K7" s="4"/>
      <c r="L7" s="4"/>
      <c r="M7" s="4"/>
      <c r="N7" s="4"/>
      <c r="O7" s="4"/>
      <c r="P7" s="4"/>
      <c r="Q7" s="4"/>
      <c r="R7" s="4"/>
      <c r="S7" s="4"/>
      <c r="T7" s="4"/>
    </row>
    <row r="8" spans="1:20" x14ac:dyDescent="0.3">
      <c r="A8" s="4"/>
      <c r="B8" s="4"/>
      <c r="C8" s="4"/>
      <c r="D8" s="4"/>
      <c r="E8" s="4"/>
      <c r="F8" s="4"/>
      <c r="G8" s="4"/>
      <c r="H8" s="4"/>
      <c r="I8" s="4"/>
      <c r="J8" s="4"/>
      <c r="K8" s="4"/>
      <c r="L8" s="4"/>
      <c r="M8" s="4"/>
      <c r="N8" s="4"/>
      <c r="O8" s="4"/>
      <c r="P8" s="4"/>
      <c r="Q8" s="4"/>
      <c r="R8" s="4"/>
      <c r="S8" s="4"/>
      <c r="T8" s="4"/>
    </row>
    <row r="9" spans="1:20" x14ac:dyDescent="0.3">
      <c r="A9" s="4"/>
      <c r="B9" s="4"/>
      <c r="C9" s="4"/>
      <c r="D9" s="4"/>
      <c r="E9" s="4"/>
      <c r="F9" s="4"/>
      <c r="G9" s="4"/>
      <c r="H9" s="4"/>
      <c r="I9" s="4"/>
      <c r="J9" s="4"/>
      <c r="K9" s="4"/>
      <c r="L9" s="4"/>
      <c r="M9" s="4"/>
      <c r="N9" s="4"/>
      <c r="O9" s="4"/>
      <c r="P9" s="4"/>
      <c r="Q9" s="4"/>
      <c r="R9" s="4"/>
      <c r="S9" s="4"/>
      <c r="T9" s="4"/>
    </row>
    <row r="10" spans="1:20" x14ac:dyDescent="0.3">
      <c r="A10" s="4"/>
      <c r="B10" s="4"/>
      <c r="C10" s="4"/>
      <c r="D10" s="4"/>
      <c r="E10" s="4"/>
      <c r="F10" s="4"/>
      <c r="G10" s="4"/>
      <c r="H10" s="4"/>
      <c r="I10" s="4"/>
      <c r="J10" s="4"/>
      <c r="K10" s="4"/>
      <c r="L10" s="4"/>
      <c r="M10" s="4"/>
      <c r="N10" s="4"/>
      <c r="O10" s="4"/>
      <c r="P10" s="4"/>
      <c r="Q10" s="4"/>
      <c r="R10" s="4"/>
      <c r="S10" s="4"/>
      <c r="T10" s="4"/>
    </row>
    <row r="11" spans="1:20" x14ac:dyDescent="0.3">
      <c r="A11" s="4"/>
      <c r="B11" s="4"/>
      <c r="C11" s="4"/>
      <c r="D11" s="4"/>
      <c r="E11" s="4"/>
      <c r="F11" s="4"/>
      <c r="G11" s="4"/>
      <c r="H11" s="4"/>
      <c r="I11" s="4"/>
      <c r="J11" s="4"/>
      <c r="K11" s="4"/>
      <c r="L11" s="4"/>
      <c r="M11" s="4"/>
      <c r="N11" s="4"/>
      <c r="O11" s="4"/>
      <c r="P11" s="4"/>
      <c r="Q11" s="4"/>
      <c r="R11" s="4"/>
      <c r="S11" s="4"/>
      <c r="T11" s="4"/>
    </row>
    <row r="12" spans="1:20" x14ac:dyDescent="0.3">
      <c r="A12" s="4"/>
      <c r="B12" s="4"/>
      <c r="C12" s="4"/>
      <c r="D12" s="4"/>
      <c r="E12" s="4"/>
      <c r="F12" s="4"/>
      <c r="G12" s="4"/>
      <c r="H12" s="4"/>
      <c r="I12" s="4"/>
      <c r="J12" s="4"/>
      <c r="K12" s="4"/>
      <c r="L12" s="4"/>
      <c r="M12" s="4"/>
      <c r="N12" s="4"/>
      <c r="O12" s="4"/>
      <c r="P12" s="4"/>
      <c r="Q12" s="4"/>
      <c r="R12" s="4"/>
      <c r="S12" s="4"/>
      <c r="T12" s="4"/>
    </row>
    <row r="13" spans="1:20" x14ac:dyDescent="0.3">
      <c r="A13" s="4"/>
      <c r="B13" s="4"/>
      <c r="C13" s="4"/>
      <c r="D13" s="4"/>
      <c r="E13" s="4"/>
      <c r="F13" s="4"/>
      <c r="G13" s="4"/>
      <c r="H13" s="4"/>
      <c r="I13" s="4"/>
      <c r="J13" s="4"/>
      <c r="K13" s="4"/>
      <c r="L13" s="4"/>
      <c r="M13" s="4"/>
      <c r="N13" s="4"/>
      <c r="O13" s="4"/>
      <c r="P13" s="4"/>
      <c r="Q13" s="4"/>
      <c r="R13" s="4"/>
      <c r="S13" s="4"/>
      <c r="T13" s="4"/>
    </row>
    <row r="14" spans="1:20" x14ac:dyDescent="0.3">
      <c r="A14" s="4"/>
      <c r="B14" s="4"/>
      <c r="C14" s="4"/>
      <c r="D14" s="4"/>
      <c r="E14" s="4"/>
      <c r="F14" s="4"/>
      <c r="G14" s="4"/>
      <c r="H14" s="4"/>
      <c r="I14" s="4"/>
      <c r="J14" s="4"/>
      <c r="K14" s="4"/>
      <c r="L14" s="4"/>
      <c r="M14" s="4"/>
      <c r="N14" s="4"/>
      <c r="O14" s="4"/>
      <c r="P14" s="4"/>
      <c r="Q14" s="4"/>
      <c r="R14" s="4"/>
      <c r="S14" s="4"/>
      <c r="T14" s="4"/>
    </row>
    <row r="15" spans="1:20" x14ac:dyDescent="0.3">
      <c r="A15" s="4"/>
      <c r="B15" s="4"/>
      <c r="C15" s="4"/>
      <c r="D15" s="4"/>
      <c r="E15" s="4"/>
      <c r="F15" s="4"/>
      <c r="G15" s="4"/>
      <c r="H15" s="4"/>
      <c r="I15" s="4"/>
      <c r="J15" s="4"/>
      <c r="K15" s="4"/>
      <c r="L15" s="4"/>
      <c r="M15" s="4"/>
      <c r="N15" s="4"/>
      <c r="O15" s="4"/>
      <c r="P15" s="4"/>
      <c r="Q15" s="4"/>
      <c r="R15" s="4"/>
      <c r="S15" s="4"/>
      <c r="T15" s="4"/>
    </row>
    <row r="16" spans="1:20" x14ac:dyDescent="0.3">
      <c r="A16" s="4"/>
      <c r="B16" s="4"/>
      <c r="C16" s="4"/>
      <c r="D16" s="4"/>
      <c r="E16" s="4"/>
      <c r="F16" s="4"/>
      <c r="G16" s="4"/>
      <c r="H16" s="4"/>
      <c r="I16" s="4"/>
      <c r="J16" s="4"/>
      <c r="K16" s="4"/>
      <c r="L16" s="4"/>
      <c r="M16" s="4"/>
      <c r="N16" s="4"/>
      <c r="O16" s="4"/>
      <c r="P16" s="4"/>
      <c r="Q16" s="4"/>
      <c r="R16" s="4"/>
      <c r="S16" s="4"/>
      <c r="T16" s="4"/>
    </row>
    <row r="17" spans="1:20" x14ac:dyDescent="0.3">
      <c r="A17" s="4"/>
      <c r="B17" s="4"/>
      <c r="C17" s="4"/>
      <c r="D17" s="4"/>
      <c r="E17" s="4"/>
      <c r="F17" s="4"/>
      <c r="G17" s="4"/>
      <c r="H17" s="4"/>
      <c r="I17" s="4"/>
      <c r="J17" s="4"/>
      <c r="K17" s="4"/>
      <c r="L17" s="4"/>
      <c r="M17" s="4"/>
      <c r="N17" s="4"/>
      <c r="O17" s="4"/>
      <c r="P17" s="4"/>
      <c r="Q17" s="4"/>
      <c r="R17" s="4"/>
      <c r="S17" s="4"/>
      <c r="T17" s="4"/>
    </row>
    <row r="18" spans="1:20" x14ac:dyDescent="0.3">
      <c r="A18" s="4"/>
      <c r="B18" s="4"/>
      <c r="C18" s="4"/>
      <c r="D18" s="4"/>
      <c r="E18" s="4"/>
      <c r="F18" s="4"/>
      <c r="G18" s="4"/>
      <c r="H18" s="4"/>
      <c r="I18" s="4"/>
      <c r="J18" s="4"/>
      <c r="K18" s="4"/>
      <c r="L18" s="4"/>
      <c r="M18" s="4"/>
      <c r="N18" s="4"/>
      <c r="O18" s="4"/>
      <c r="P18" s="4"/>
      <c r="Q18" s="4"/>
      <c r="R18" s="4"/>
      <c r="S18" s="4"/>
      <c r="T18" s="4"/>
    </row>
    <row r="19" spans="1:20" x14ac:dyDescent="0.3">
      <c r="A19" s="4"/>
      <c r="B19" s="4"/>
      <c r="C19" s="4"/>
      <c r="D19" s="4"/>
      <c r="E19" s="4"/>
      <c r="F19" s="4"/>
      <c r="G19" s="4"/>
      <c r="H19" s="4"/>
      <c r="I19" s="4"/>
      <c r="J19" s="4"/>
      <c r="K19" s="4"/>
      <c r="L19" s="4"/>
      <c r="M19" s="4"/>
      <c r="N19" s="4"/>
      <c r="O19" s="4"/>
      <c r="P19" s="4"/>
      <c r="Q19" s="4"/>
      <c r="R19" s="4"/>
      <c r="S19" s="4"/>
      <c r="T19" s="4"/>
    </row>
    <row r="20" spans="1:20" x14ac:dyDescent="0.3">
      <c r="A20" s="4"/>
      <c r="B20" s="4"/>
      <c r="C20" s="4"/>
      <c r="D20" s="4"/>
      <c r="E20" s="4"/>
      <c r="F20" s="4"/>
      <c r="G20" s="4"/>
      <c r="H20" s="4"/>
      <c r="I20" s="4"/>
      <c r="J20" s="4"/>
      <c r="K20" s="4"/>
      <c r="L20" s="4"/>
      <c r="M20" s="4"/>
      <c r="N20" s="4"/>
      <c r="O20" s="4"/>
      <c r="P20" s="4"/>
      <c r="Q20" s="4"/>
      <c r="R20" s="4"/>
      <c r="S20" s="4"/>
      <c r="T20" s="4"/>
    </row>
    <row r="21" spans="1:20" x14ac:dyDescent="0.3">
      <c r="A21" s="4"/>
      <c r="B21" s="4"/>
      <c r="C21" s="4"/>
      <c r="D21" s="4"/>
      <c r="E21" s="4"/>
      <c r="F21" s="4"/>
      <c r="G21" s="4"/>
      <c r="H21" s="4"/>
      <c r="I21" s="4"/>
      <c r="J21" s="4"/>
      <c r="K21" s="4"/>
      <c r="L21" s="4"/>
      <c r="M21" s="4"/>
      <c r="N21" s="4"/>
      <c r="O21" s="4"/>
      <c r="P21" s="4"/>
      <c r="Q21" s="4"/>
      <c r="R21" s="4"/>
      <c r="S21" s="4"/>
      <c r="T21" s="4"/>
    </row>
    <row r="22" spans="1:20" x14ac:dyDescent="0.3">
      <c r="A22" s="4"/>
      <c r="B22" s="4"/>
      <c r="C22" s="4"/>
      <c r="D22" s="4"/>
      <c r="E22" s="4"/>
      <c r="F22" s="4"/>
      <c r="G22" s="4"/>
      <c r="H22" s="4"/>
      <c r="I22" s="4"/>
      <c r="J22" s="4"/>
      <c r="K22" s="4"/>
      <c r="L22" s="4"/>
      <c r="M22" s="4"/>
      <c r="N22" s="4"/>
      <c r="O22" s="4"/>
      <c r="P22" s="4"/>
      <c r="Q22" s="4"/>
      <c r="R22" s="4"/>
      <c r="S22" s="4"/>
      <c r="T22" s="4"/>
    </row>
    <row r="23" spans="1:20" ht="21" x14ac:dyDescent="0.4">
      <c r="A23" s="4"/>
      <c r="B23" s="23" t="s">
        <v>12</v>
      </c>
      <c r="C23" s="23"/>
      <c r="D23" s="23"/>
      <c r="E23" s="23"/>
      <c r="F23" s="23"/>
      <c r="G23" s="23"/>
      <c r="H23" s="23"/>
      <c r="I23" s="23"/>
      <c r="J23" s="23"/>
      <c r="K23" s="23"/>
      <c r="L23" s="23"/>
      <c r="M23" s="23"/>
      <c r="N23" s="23"/>
      <c r="O23" s="23"/>
      <c r="P23" s="23"/>
      <c r="Q23" s="23"/>
      <c r="R23" s="4"/>
      <c r="S23" s="4"/>
      <c r="T23" s="4"/>
    </row>
    <row r="24" spans="1:20" x14ac:dyDescent="0.3">
      <c r="A24" s="4"/>
      <c r="B24" s="4"/>
      <c r="C24" s="4"/>
      <c r="D24" s="4"/>
      <c r="E24" s="4"/>
      <c r="F24" s="4"/>
      <c r="G24" s="4"/>
      <c r="H24" s="4"/>
      <c r="I24" s="4"/>
      <c r="J24" s="4"/>
      <c r="K24" s="4"/>
      <c r="L24" s="4"/>
      <c r="M24" s="4"/>
      <c r="N24" s="4"/>
      <c r="O24" s="4"/>
      <c r="P24" s="4"/>
      <c r="Q24" s="4"/>
      <c r="R24" s="4"/>
      <c r="S24" s="4"/>
      <c r="T24" s="4"/>
    </row>
    <row r="25" spans="1:20" x14ac:dyDescent="0.3">
      <c r="A25" s="4"/>
      <c r="B25" s="4"/>
      <c r="C25" s="4"/>
      <c r="D25" s="4"/>
      <c r="E25" s="4"/>
      <c r="F25" s="4"/>
      <c r="G25" s="4"/>
      <c r="H25" s="4"/>
      <c r="I25" s="4"/>
      <c r="J25" s="4"/>
      <c r="K25" s="4"/>
      <c r="L25" s="4"/>
      <c r="M25" s="4"/>
      <c r="N25" s="4"/>
      <c r="O25" s="4"/>
      <c r="P25" s="4"/>
      <c r="Q25" s="4"/>
      <c r="R25" s="4"/>
      <c r="S25" s="4"/>
      <c r="T25" s="4"/>
    </row>
    <row r="26" spans="1:20" x14ac:dyDescent="0.3">
      <c r="A26" s="4"/>
      <c r="B26" s="4"/>
      <c r="C26" s="4"/>
      <c r="D26" s="4"/>
      <c r="E26" s="4"/>
      <c r="F26" s="4"/>
      <c r="G26" s="4"/>
      <c r="H26" s="4"/>
      <c r="I26" s="4"/>
      <c r="J26" s="4"/>
      <c r="K26" s="4"/>
      <c r="L26" s="4"/>
      <c r="M26" s="4"/>
      <c r="N26" s="4"/>
      <c r="O26" s="4"/>
      <c r="P26" s="4"/>
      <c r="Q26" s="4"/>
      <c r="R26" s="4"/>
      <c r="S26" s="4"/>
      <c r="T26" s="4"/>
    </row>
    <row r="27" spans="1:20" x14ac:dyDescent="0.3">
      <c r="A27" s="4"/>
      <c r="B27" s="4"/>
      <c r="C27" s="4"/>
      <c r="D27" s="4"/>
      <c r="E27" s="4"/>
      <c r="F27" s="4"/>
      <c r="G27" s="4"/>
      <c r="H27" s="4"/>
      <c r="I27" s="4"/>
      <c r="J27" s="4"/>
      <c r="K27" s="4"/>
      <c r="L27" s="4"/>
      <c r="M27" s="4"/>
      <c r="N27" s="4"/>
      <c r="O27" s="4"/>
      <c r="P27" s="4"/>
      <c r="Q27" s="4"/>
      <c r="R27" s="4"/>
      <c r="S27" s="4"/>
      <c r="T27" s="4"/>
    </row>
    <row r="28" spans="1:20" x14ac:dyDescent="0.3">
      <c r="A28" s="4"/>
      <c r="B28" s="4"/>
      <c r="C28" s="4"/>
      <c r="D28" s="4"/>
      <c r="E28" s="4"/>
      <c r="F28" s="4"/>
      <c r="G28" s="4"/>
      <c r="H28" s="4"/>
      <c r="I28" s="4"/>
      <c r="J28" s="4"/>
      <c r="K28" s="4"/>
      <c r="L28" s="4"/>
      <c r="M28" s="4"/>
      <c r="N28" s="4"/>
      <c r="O28" s="4"/>
      <c r="P28" s="4"/>
      <c r="Q28" s="4"/>
      <c r="R28" s="4"/>
      <c r="S28" s="4"/>
      <c r="T28" s="4"/>
    </row>
  </sheetData>
  <mergeCells count="1">
    <mergeCell ref="B23:Q2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7844B3A-2A99-4B14-A0E2-FE55777D9EB0}">
  <ds:schemaRefs/>
</ds:datastoreItem>
</file>

<file path=customXml/itemProps2.xml><?xml version="1.0" encoding="utf-8"?>
<ds:datastoreItem xmlns:ds="http://schemas.openxmlformats.org/officeDocument/2006/customXml" ds:itemID="{84D6527A-7E40-489F-AA31-BB8BAEECD0B4}">
  <ds:schemaRefs/>
</ds:datastoreItem>
</file>

<file path=customXml/itemProps3.xml><?xml version="1.0" encoding="utf-8"?>
<ds:datastoreItem xmlns:ds="http://schemas.openxmlformats.org/officeDocument/2006/customXml" ds:itemID="{047469EE-2D18-4ED2-9B59-9F96C5AF429D}">
  <ds:schemaRefs/>
</ds:datastoreItem>
</file>

<file path=customXml/itemProps4.xml><?xml version="1.0" encoding="utf-8"?>
<ds:datastoreItem xmlns:ds="http://schemas.openxmlformats.org/officeDocument/2006/customXml" ds:itemID="{2274ECA8-D46B-48D9-BDD9-F719EE051595}">
  <ds:schemaRefs/>
</ds:datastoreItem>
</file>

<file path=customXml/itemProps5.xml><?xml version="1.0" encoding="utf-8"?>
<ds:datastoreItem xmlns:ds="http://schemas.openxmlformats.org/officeDocument/2006/customXml" ds:itemID="{A63E0785-3BA2-4CA5-9134-2A956538E52F}">
  <ds:schemaRefs/>
</ds:datastoreItem>
</file>

<file path=customXml/itemProps6.xml><?xml version="1.0" encoding="utf-8"?>
<ds:datastoreItem xmlns:ds="http://schemas.openxmlformats.org/officeDocument/2006/customXml" ds:itemID="{35A27CA7-CDA4-4178-A39D-29F0D523D6E4}">
  <ds:schemaRefs/>
</ds:datastoreItem>
</file>

<file path=customXml/itemProps7.xml><?xml version="1.0" encoding="utf-8"?>
<ds:datastoreItem xmlns:ds="http://schemas.openxmlformats.org/officeDocument/2006/customXml" ds:itemID="{3C7DEAB1-D12C-4B8F-9F36-A544ABA4AA37}">
  <ds:schemaRefs/>
</ds:datastoreItem>
</file>

<file path=customXml/itemProps8.xml><?xml version="1.0" encoding="utf-8"?>
<ds:datastoreItem xmlns:ds="http://schemas.openxmlformats.org/officeDocument/2006/customXml" ds:itemID="{07D207B3-60A5-41A5-AA72-D557CEE67548}">
  <ds:schemaRefs/>
</ds:datastoreItem>
</file>

<file path=customXml/itemProps9.xml><?xml version="1.0" encoding="utf-8"?>
<ds:datastoreItem xmlns:ds="http://schemas.openxmlformats.org/officeDocument/2006/customXml" ds:itemID="{39E4704F-ECDD-4B8E-9757-5910DA347C08}">
  <ds:schemaRefs/>
</ds:datastoreItem>
</file>

<file path=customXml/itemProps10.xml><?xml version="1.0" encoding="utf-8"?>
<ds:datastoreItem xmlns:ds="http://schemas.openxmlformats.org/officeDocument/2006/customXml" ds:itemID="{D6BFC194-C161-4084-A618-55F4E2AD5E52}">
  <ds:schemaRefs/>
</ds:datastoreItem>
</file>

<file path=customXml/itemProps11.xml><?xml version="1.0" encoding="utf-8"?>
<ds:datastoreItem xmlns:ds="http://schemas.openxmlformats.org/officeDocument/2006/customXml" ds:itemID="{1C8DBF3F-22D3-4581-A147-6A96AFA9BF5B}">
  <ds:schemaRefs/>
</ds:datastoreItem>
</file>

<file path=customXml/itemProps12.xml><?xml version="1.0" encoding="utf-8"?>
<ds:datastoreItem xmlns:ds="http://schemas.openxmlformats.org/officeDocument/2006/customXml" ds:itemID="{5E4E4C77-8975-4544-9D6E-C3425A93D074}">
  <ds:schemaRefs/>
</ds:datastoreItem>
</file>

<file path=customXml/itemProps13.xml><?xml version="1.0" encoding="utf-8"?>
<ds:datastoreItem xmlns:ds="http://schemas.openxmlformats.org/officeDocument/2006/customXml" ds:itemID="{7AD426A0-95C8-4324-B87B-5674AC5325BE}">
  <ds:schemaRefs/>
</ds:datastoreItem>
</file>

<file path=customXml/itemProps14.xml><?xml version="1.0" encoding="utf-8"?>
<ds:datastoreItem xmlns:ds="http://schemas.openxmlformats.org/officeDocument/2006/customXml" ds:itemID="{A30BC7AB-86A7-44EE-A110-47BE00CF7B91}">
  <ds:schemaRefs/>
</ds:datastoreItem>
</file>

<file path=customXml/itemProps15.xml><?xml version="1.0" encoding="utf-8"?>
<ds:datastoreItem xmlns:ds="http://schemas.openxmlformats.org/officeDocument/2006/customXml" ds:itemID="{CA20E909-A861-4CC1-8DFC-6105868397D0}">
  <ds:schemaRefs/>
</ds:datastoreItem>
</file>

<file path=customXml/itemProps16.xml><?xml version="1.0" encoding="utf-8"?>
<ds:datastoreItem xmlns:ds="http://schemas.openxmlformats.org/officeDocument/2006/customXml" ds:itemID="{6A450EE2-8791-4A14-894C-3474E967CD73}">
  <ds:schemaRefs/>
</ds:datastoreItem>
</file>

<file path=customXml/itemProps17.xml><?xml version="1.0" encoding="utf-8"?>
<ds:datastoreItem xmlns:ds="http://schemas.openxmlformats.org/officeDocument/2006/customXml" ds:itemID="{F17B6EC4-DA53-4218-84A9-6722FA5CEE9E}">
  <ds:schemaRefs/>
</ds:datastoreItem>
</file>

<file path=customXml/itemProps18.xml><?xml version="1.0" encoding="utf-8"?>
<ds:datastoreItem xmlns:ds="http://schemas.openxmlformats.org/officeDocument/2006/customXml" ds:itemID="{627A58C5-AD3F-4062-AC43-8A8156FB28B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Pivot Report</vt:lpstr>
      <vt:lpstr>Dashboard</vt:lpstr>
      <vt:lpstr>Average Wait Time Daily Trend</vt:lpstr>
      <vt:lpstr>Daily ER No of Patient</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neeraja p</dc:creator>
  <cp:lastModifiedBy>neeraja p</cp:lastModifiedBy>
  <cp:lastPrinted>2025-10-21T17:57:30Z</cp:lastPrinted>
  <dcterms:created xsi:type="dcterms:W3CDTF">2025-10-09T16:05:25Z</dcterms:created>
  <dcterms:modified xsi:type="dcterms:W3CDTF">2025-10-29T05:24:11Z</dcterms:modified>
</cp:coreProperties>
</file>